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0" activeTab="0" autoFilterDateGrouping="1"/>
  </bookViews>
  <sheets>
    <sheet xmlns:r="http://schemas.openxmlformats.org/officeDocument/2006/relationships" name="Φύλλο1" sheetId="1" state="visible" r:id="rId1"/>
    <sheet xmlns:r="http://schemas.openxmlformats.org/officeDocument/2006/relationships" name="Sold" sheetId="2" state="visible" r:id="rId2"/>
    <sheet xmlns:r="http://schemas.openxmlformats.org/officeDocument/2006/relationships" name="Candidates" sheetId="3" state="visible" r:id="rId3"/>
  </sheets>
  <definedNames/>
  <calcPr calcId="191029" calcMode="auto" fullCalcOnLoad="1" forceFullCalc="1"/>
</workbook>
</file>

<file path=xl/styles.xml><?xml version="1.0" encoding="utf-8"?>
<styleSheet xmlns="http://schemas.openxmlformats.org/spreadsheetml/2006/main">
  <numFmts count="6">
    <numFmt numFmtId="164" formatCode="0.00&quot;%&quot;"/>
    <numFmt numFmtId="165" formatCode="dd/mm/yyyy"/>
    <numFmt numFmtId="166" formatCode="#,##0.00\ &quot;€&quot;"/>
    <numFmt numFmtId="167" formatCode="0.########"/>
    <numFmt numFmtId="168" formatCode="#,##0.00 &quot;€&quot;"/>
    <numFmt numFmtId="169" formatCode="yyyy-mm-dd h:mm:ss"/>
  </numFmts>
  <fonts count="13">
    <font>
      <name val="Calibri"/>
      <color theme="1"/>
      <sz val="11"/>
    </font>
    <font>
      <name val="Calibri"/>
      <color theme="10"/>
      <sz val="12"/>
    </font>
    <font>
      <name val="Calibri"/>
      <b val="1"/>
      <color rgb="FFFFFFFF"/>
      <sz val="11"/>
    </font>
    <font>
      <name val="Calibri"/>
      <b val="1"/>
      <color rgb="FFFFFFFF"/>
      <sz val="11"/>
    </font>
    <font>
      <name val="Calibri"/>
      <color rgb="FF9C5700"/>
      <sz val="11"/>
    </font>
    <font>
      <name val="Calibri"/>
      <color rgb="FF000000"/>
      <sz val="11"/>
    </font>
    <font>
      <name val="Calibri"/>
      <b val="1"/>
      <color rgb="FF375623"/>
      <sz val="11"/>
    </font>
    <font>
      <name val="Calibri"/>
      <b val="1"/>
      <color rgb="FF9C5700"/>
      <sz val="11"/>
    </font>
    <font>
      <b val="1"/>
      <color rgb="00FFFFFF"/>
    </font>
    <font>
      <color rgb="00000000"/>
    </font>
    <font>
      <color rgb="009C5700"/>
    </font>
    <font>
      <b val="1"/>
      <color rgb="00375623"/>
    </font>
    <font>
      <b val="1"/>
      <color rgb="009C5700"/>
    </font>
  </fonts>
  <fills count="23">
    <fill>
      <patternFill/>
    </fill>
    <fill>
      <patternFill patternType="gray125"/>
    </fill>
    <fill>
      <patternFill patternType="solid">
        <fgColor rgb="FF1F4E78"/>
      </patternFill>
    </fill>
    <fill>
      <patternFill patternType="solid">
        <fgColor rgb="FF4472C4"/>
      </patternFill>
    </fill>
    <fill>
      <patternFill patternType="solid">
        <fgColor rgb="FFFCE4D6"/>
      </patternFill>
    </fill>
    <fill>
      <patternFill patternType="solid">
        <fgColor rgb="FFD9EAF7"/>
      </patternFill>
    </fill>
    <fill>
      <patternFill patternType="solid">
        <fgColor rgb="FF1F4E78"/>
      </patternFill>
    </fill>
    <fill>
      <patternFill patternType="solid">
        <fgColor rgb="FF5B9BD5"/>
      </patternFill>
    </fill>
    <fill>
      <patternFill patternType="solid">
        <fgColor rgb="FFED7D31"/>
      </patternFill>
    </fill>
    <fill>
      <patternFill patternType="solid">
        <fgColor rgb="FFFFFF00"/>
      </patternFill>
    </fill>
    <fill>
      <patternFill patternType="solid">
        <fgColor rgb="FFD9D9D9"/>
      </patternFill>
    </fill>
    <fill>
      <patternFill patternType="solid">
        <fgColor rgb="FFE2F0D9"/>
      </patternFill>
    </fill>
    <fill>
      <patternFill patternType="solid">
        <fgColor rgb="FFB4C6E7"/>
      </patternFill>
    </fill>
    <fill>
      <patternFill patternType="solid">
        <fgColor rgb="004472C4"/>
      </patternFill>
    </fill>
    <fill>
      <patternFill patternType="solid">
        <fgColor rgb="00D9EAF7"/>
      </patternFill>
    </fill>
    <fill>
      <patternFill patternType="solid">
        <fgColor rgb="00FCE4D6"/>
      </patternFill>
    </fill>
    <fill>
      <patternFill patternType="solid">
        <fgColor rgb="005B9BD5"/>
      </patternFill>
    </fill>
    <fill>
      <patternFill patternType="solid">
        <fgColor rgb="001F4E78"/>
      </patternFill>
    </fill>
    <fill>
      <patternFill patternType="solid">
        <fgColor rgb="00ED7D31"/>
      </patternFill>
    </fill>
    <fill>
      <patternFill patternType="solid">
        <fgColor rgb="00FFFF00"/>
      </patternFill>
    </fill>
    <fill>
      <patternFill patternType="solid">
        <fgColor rgb="00D9D9D9"/>
      </patternFill>
    </fill>
    <fill>
      <patternFill patternType="solid">
        <fgColor rgb="00E2F0D9"/>
      </patternFill>
    </fill>
    <fill>
      <patternFill patternType="solid">
        <fgColor rgb="00B4C6E7"/>
      </patternFill>
    </fill>
  </fills>
  <borders count="12">
    <border>
      <left/>
      <right/>
      <top/>
      <bottom/>
      <diagonal/>
    </border>
    <border>
      <left/>
      <right/>
      <top/>
      <bottom/>
      <diagonal/>
    </border>
    <border>
      <left/>
      <right/>
      <top/>
      <bottom style="thin">
        <color rgb="FFD9E2F3"/>
      </bottom>
      <diagonal/>
    </border>
    <border>
      <left style="medium">
        <color rgb="FF000000"/>
      </left>
      <right style="medium">
        <color rgb="FF000000"/>
      </right>
      <top style="medium">
        <color rgb="FF000000"/>
      </top>
      <bottom/>
      <diagonal/>
    </border>
    <border>
      <left style="medium">
        <color rgb="FF000000"/>
      </left>
      <right style="medium">
        <color rgb="FF000000"/>
      </right>
      <top/>
      <bottom style="medium">
        <color rgb="FF000000"/>
      </bottom>
      <diagonal/>
    </border>
    <border>
      <left/>
      <right/>
      <top style="medium">
        <color rgb="FF000000"/>
      </top>
      <bottom/>
      <diagonal/>
    </border>
    <border>
      <bottom style="thin">
        <color rgb="00D9E2F3"/>
      </bottom>
    </border>
    <border>
      <left style="medium">
        <color rgb="00000000"/>
      </left>
      <right style="medium">
        <color rgb="00000000"/>
      </right>
      <top style="medium">
        <color rgb="00000000"/>
      </top>
    </border>
    <border>
      <left style="medium">
        <color rgb="00000000"/>
      </left>
      <right style="medium">
        <color rgb="00000000"/>
      </right>
      <bottom style="medium">
        <color rgb="00000000"/>
      </bottom>
    </border>
    <border>
      <top style="medium">
        <color rgb="00000000"/>
      </top>
    </border>
    <border>
      <right/>
      <top style="medium">
        <color rgb="00000000"/>
      </top>
      <bottom/>
    </border>
    <border>
      <left/>
      <right/>
      <top style="medium">
        <color rgb="00000000"/>
      </top>
      <bottom/>
      <diagonal/>
    </border>
  </borders>
  <cellStyleXfs count="3">
    <xf numFmtId="0" fontId="0" fillId="0" borderId="1"/>
    <xf numFmtId="0" fontId="1" fillId="0" borderId="1"/>
    <xf numFmtId="0" fontId="1" fillId="0" borderId="1"/>
  </cellStyleXfs>
  <cellXfs count="157">
    <xf numFmtId="0" fontId="0" fillId="0" borderId="0" pivotButton="0" quotePrefix="0" xfId="0"/>
    <xf numFmtId="0" fontId="0" fillId="0" borderId="0" applyAlignment="1" pivotButton="0" quotePrefix="0" xfId="0">
      <alignment horizontal="center" vertical="center"/>
    </xf>
    <xf numFmtId="0" fontId="0" fillId="0" borderId="0" applyAlignment="1" pivotButton="0" quotePrefix="0" xfId="0">
      <alignment vertical="center"/>
    </xf>
    <xf numFmtId="4" fontId="0" fillId="0" borderId="0" applyAlignment="1" pivotButton="0" quotePrefix="0" xfId="0">
      <alignment vertical="center"/>
    </xf>
    <xf numFmtId="164" fontId="0" fillId="0" borderId="0" applyAlignment="1" pivotButton="0" quotePrefix="0" xfId="0">
      <alignment vertical="center"/>
    </xf>
    <xf numFmtId="2" fontId="0" fillId="0" borderId="0" applyAlignment="1" pivotButton="0" quotePrefix="0" xfId="0">
      <alignment vertical="center"/>
    </xf>
    <xf numFmtId="3" fontId="0" fillId="0" borderId="0" applyAlignment="1" pivotButton="0" quotePrefix="0" xfId="0">
      <alignment vertical="center"/>
    </xf>
    <xf numFmtId="0" fontId="1" fillId="0" borderId="1" applyAlignment="1" pivotButton="0" quotePrefix="0" xfId="2">
      <alignment vertical="center"/>
    </xf>
    <xf numFmtId="0" fontId="2" fillId="2" borderId="0" applyAlignment="1" pivotButton="0" quotePrefix="0" xfId="0">
      <alignment horizontal="center" vertical="center" wrapText="1"/>
    </xf>
    <xf numFmtId="165" fontId="0" fillId="0" borderId="0" pivotButton="0" quotePrefix="0" xfId="0"/>
    <xf numFmtId="164" fontId="0" fillId="0" borderId="0" pivotButton="0" quotePrefix="0" xfId="0"/>
    <xf numFmtId="166" fontId="0" fillId="0" borderId="0" pivotButton="0" quotePrefix="0" xfId="0"/>
    <xf numFmtId="167" fontId="0" fillId="0" borderId="0" pivotButton="0" quotePrefix="0" xfId="0"/>
    <xf numFmtId="0" fontId="3" fillId="3" borderId="2" applyAlignment="1" pivotButton="0" quotePrefix="0" xfId="0">
      <alignment horizontal="center" vertical="center"/>
    </xf>
    <xf numFmtId="0" fontId="4" fillId="4" borderId="0" applyAlignment="1" pivotButton="0" quotePrefix="0" xfId="0">
      <alignment horizontal="center" vertical="center"/>
    </xf>
    <xf numFmtId="0" fontId="4" fillId="4" borderId="0" pivotButton="0" quotePrefix="0" xfId="0"/>
    <xf numFmtId="165" fontId="4" fillId="4" borderId="0" applyAlignment="1" pivotButton="0" quotePrefix="0" xfId="0">
      <alignment horizontal="center" vertical="center"/>
    </xf>
    <xf numFmtId="166" fontId="4" fillId="4" borderId="0" pivotButton="0" quotePrefix="0" xfId="0"/>
    <xf numFmtId="167" fontId="4" fillId="4" borderId="0" applyAlignment="1" pivotButton="0" quotePrefix="0" xfId="0">
      <alignment horizontal="center" vertical="center"/>
    </xf>
    <xf numFmtId="164" fontId="4" fillId="4" borderId="0" applyAlignment="1" pivotButton="0" quotePrefix="0" xfId="0">
      <alignment horizontal="center" vertical="center"/>
    </xf>
    <xf numFmtId="2" fontId="4" fillId="4" borderId="0" applyAlignment="1" pivotButton="0" quotePrefix="0" xfId="0">
      <alignment horizontal="center" vertical="center"/>
    </xf>
    <xf numFmtId="0" fontId="5" fillId="5" borderId="0" applyAlignment="1" pivotButton="0" quotePrefix="0" xfId="0">
      <alignment horizontal="center" vertical="center"/>
    </xf>
    <xf numFmtId="0" fontId="5" fillId="5" borderId="0" pivotButton="0" quotePrefix="0" xfId="0"/>
    <xf numFmtId="165" fontId="5" fillId="5" borderId="0" applyAlignment="1" pivotButton="0" quotePrefix="0" xfId="0">
      <alignment horizontal="center" vertical="center"/>
    </xf>
    <xf numFmtId="166" fontId="5" fillId="5" borderId="0" pivotButton="0" quotePrefix="0" xfId="0"/>
    <xf numFmtId="167" fontId="5" fillId="5" borderId="0" applyAlignment="1" pivotButton="0" quotePrefix="0" xfId="0">
      <alignment horizontal="center" vertical="center"/>
    </xf>
    <xf numFmtId="164" fontId="5" fillId="5" borderId="0" applyAlignment="1" pivotButton="0" quotePrefix="0" xfId="0">
      <alignment horizontal="center" vertical="center"/>
    </xf>
    <xf numFmtId="2" fontId="5" fillId="5" borderId="0" applyAlignment="1" pivotButton="0" quotePrefix="0" xfId="0">
      <alignment horizontal="center" vertical="center"/>
    </xf>
    <xf numFmtId="0" fontId="3" fillId="6" borderId="0" applyAlignment="1" pivotButton="0" quotePrefix="0" xfId="0">
      <alignment horizontal="center" vertical="center"/>
    </xf>
    <xf numFmtId="0" fontId="3" fillId="6" borderId="0" pivotButton="0" quotePrefix="0" xfId="0"/>
    <xf numFmtId="165" fontId="3" fillId="6" borderId="0" applyAlignment="1" pivotButton="0" quotePrefix="0" xfId="0">
      <alignment horizontal="center" vertical="center"/>
    </xf>
    <xf numFmtId="166" fontId="3" fillId="6" borderId="0" pivotButton="0" quotePrefix="0" xfId="0"/>
    <xf numFmtId="167" fontId="3" fillId="6" borderId="0" applyAlignment="1" pivotButton="0" quotePrefix="0" xfId="0">
      <alignment horizontal="center" vertical="center"/>
    </xf>
    <xf numFmtId="164" fontId="3" fillId="6" borderId="0" applyAlignment="1" pivotButton="0" quotePrefix="0" xfId="0">
      <alignment horizontal="center" vertical="center"/>
    </xf>
    <xf numFmtId="2" fontId="3" fillId="6" borderId="0" applyAlignment="1" pivotButton="0" quotePrefix="0" xfId="0">
      <alignment horizontal="center" vertical="center"/>
    </xf>
    <xf numFmtId="0" fontId="3" fillId="7" borderId="0" applyAlignment="1" pivotButton="0" quotePrefix="0" xfId="0">
      <alignment horizontal="center" vertical="center"/>
    </xf>
    <xf numFmtId="0" fontId="3" fillId="7" borderId="0" pivotButton="0" quotePrefix="0" xfId="0"/>
    <xf numFmtId="165" fontId="3" fillId="7" borderId="0" applyAlignment="1" pivotButton="0" quotePrefix="0" xfId="0">
      <alignment horizontal="center" vertical="center"/>
    </xf>
    <xf numFmtId="166" fontId="3" fillId="7" borderId="0" pivotButton="0" quotePrefix="0" xfId="0"/>
    <xf numFmtId="167" fontId="3" fillId="7" borderId="0" applyAlignment="1" pivotButton="0" quotePrefix="0" xfId="0">
      <alignment horizontal="center" vertical="center"/>
    </xf>
    <xf numFmtId="164" fontId="3" fillId="7" borderId="0" applyAlignment="1" pivotButton="0" quotePrefix="0" xfId="0">
      <alignment horizontal="center" vertical="center"/>
    </xf>
    <xf numFmtId="2" fontId="3" fillId="7" borderId="0" applyAlignment="1" pivotButton="0" quotePrefix="0" xfId="0">
      <alignment horizontal="center" vertical="center"/>
    </xf>
    <xf numFmtId="0" fontId="3" fillId="8" borderId="0" applyAlignment="1" pivotButton="0" quotePrefix="0" xfId="0">
      <alignment horizontal="center" vertical="center"/>
    </xf>
    <xf numFmtId="0" fontId="3" fillId="8" borderId="0" pivotButton="0" quotePrefix="0" xfId="0"/>
    <xf numFmtId="165" fontId="3" fillId="8" borderId="0" applyAlignment="1" pivotButton="0" quotePrefix="0" xfId="0">
      <alignment horizontal="center" vertical="center"/>
    </xf>
    <xf numFmtId="166" fontId="3" fillId="8" borderId="0" pivotButton="0" quotePrefix="0" xfId="0"/>
    <xf numFmtId="167" fontId="3" fillId="8" borderId="0" applyAlignment="1" pivotButton="0" quotePrefix="0" xfId="0">
      <alignment horizontal="center" vertical="center"/>
    </xf>
    <xf numFmtId="164" fontId="3" fillId="8" borderId="0" applyAlignment="1" pivotButton="0" quotePrefix="0" xfId="0">
      <alignment horizontal="center" vertical="center"/>
    </xf>
    <xf numFmtId="2" fontId="3" fillId="8" borderId="0" applyAlignment="1" pivotButton="0" quotePrefix="0" xfId="0">
      <alignment horizontal="center" vertical="center"/>
    </xf>
    <xf numFmtId="0" fontId="5" fillId="9" borderId="3" applyAlignment="1" pivotButton="0" quotePrefix="0" xfId="0">
      <alignment horizontal="center" vertical="center"/>
    </xf>
    <xf numFmtId="0" fontId="5" fillId="4" borderId="0" applyAlignment="1" pivotButton="0" quotePrefix="0" xfId="0">
      <alignment horizontal="center" vertical="center"/>
    </xf>
    <xf numFmtId="166" fontId="5" fillId="9" borderId="4" applyAlignment="1" pivotButton="0" quotePrefix="0" xfId="0">
      <alignment horizontal="center" vertical="center"/>
    </xf>
    <xf numFmtId="10" fontId="5" fillId="4" borderId="0" applyAlignment="1" pivotButton="0" quotePrefix="0" xfId="0">
      <alignment horizontal="center" vertical="center"/>
    </xf>
    <xf numFmtId="0" fontId="5" fillId="11" borderId="3" applyAlignment="1" pivotButton="0" quotePrefix="0" xfId="0">
      <alignment horizontal="center" vertical="center"/>
    </xf>
    <xf numFmtId="166" fontId="5" fillId="11" borderId="4" applyAlignment="1" pivotButton="0" quotePrefix="0" xfId="0">
      <alignment horizontal="center" vertical="center"/>
    </xf>
    <xf numFmtId="166" fontId="6" fillId="11" borderId="0" pivotButton="0" quotePrefix="0" xfId="0"/>
    <xf numFmtId="166" fontId="7" fillId="4" borderId="0" pivotButton="0" quotePrefix="0" xfId="0"/>
    <xf numFmtId="10" fontId="5" fillId="12" borderId="0" applyAlignment="1" pivotButton="0" quotePrefix="0" xfId="0">
      <alignment horizontal="center" vertical="center"/>
    </xf>
    <xf numFmtId="0" fontId="5" fillId="12" borderId="0" applyAlignment="1" pivotButton="0" quotePrefix="0" xfId="0">
      <alignment horizontal="center" vertical="center"/>
    </xf>
    <xf numFmtId="10" fontId="5" fillId="10" borderId="0" applyAlignment="1" pivotButton="0" quotePrefix="0" xfId="0">
      <alignment horizontal="center" vertical="center"/>
    </xf>
    <xf numFmtId="0" fontId="5" fillId="10" borderId="0" applyAlignment="1" pivotButton="0" quotePrefix="0" xfId="0">
      <alignment horizontal="center" vertical="center"/>
    </xf>
    <xf numFmtId="10" fontId="5" fillId="11" borderId="0" applyAlignment="1" pivotButton="0" quotePrefix="0" xfId="0">
      <alignment horizontal="center" vertical="center"/>
    </xf>
    <xf numFmtId="0" fontId="5" fillId="11" borderId="0" applyAlignment="1" pivotButton="0" quotePrefix="0" xfId="0">
      <alignment horizontal="center" vertical="center"/>
    </xf>
    <xf numFmtId="0" fontId="5" fillId="10" borderId="5" applyAlignment="1" pivotButton="0" quotePrefix="0" xfId="0">
      <alignment horizontal="center" vertical="center"/>
    </xf>
    <xf numFmtId="0" fontId="5" fillId="12" borderId="5" applyAlignment="1" pivotButton="0" quotePrefix="0" xfId="0">
      <alignment horizontal="center" vertical="center"/>
    </xf>
    <xf numFmtId="0" fontId="5" fillId="11" borderId="5" applyAlignment="1" pivotButton="0" quotePrefix="0" xfId="0">
      <alignment horizontal="center" vertical="center"/>
    </xf>
    <xf numFmtId="0" fontId="0" fillId="4" borderId="5" applyAlignment="1" pivotButton="0" quotePrefix="0" xfId="0">
      <alignment horizontal="center" vertical="center"/>
    </xf>
    <xf numFmtId="0" fontId="0" fillId="4" borderId="0" applyAlignment="1" pivotButton="0" quotePrefix="0" xfId="0">
      <alignment horizontal="center" vertical="center"/>
    </xf>
    <xf numFmtId="166" fontId="0" fillId="9" borderId="0" applyAlignment="1" pivotButton="0" quotePrefix="0" xfId="0">
      <alignment horizontal="center" vertical="center"/>
    </xf>
    <xf numFmtId="0" fontId="0" fillId="9" borderId="0" applyAlignment="1" pivotButton="0" quotePrefix="0" xfId="0">
      <alignment horizontal="center" vertical="center"/>
    </xf>
    <xf numFmtId="166" fontId="0" fillId="10" borderId="0" applyAlignment="1" pivotButton="0" quotePrefix="0" xfId="0">
      <alignment horizontal="center" vertical="center"/>
    </xf>
    <xf numFmtId="0" fontId="0" fillId="10" borderId="0" applyAlignment="1" pivotButton="0" quotePrefix="0" xfId="0">
      <alignment horizontal="center" vertical="center"/>
    </xf>
    <xf numFmtId="0" fontId="0" fillId="10" borderId="5" applyAlignment="1" pivotButton="0" quotePrefix="0" xfId="0">
      <alignment horizontal="center" vertical="center"/>
    </xf>
    <xf numFmtId="0" fontId="0" fillId="9" borderId="5" applyAlignment="1" pivotButton="0" quotePrefix="0" xfId="0">
      <alignment horizontal="center" vertical="center"/>
    </xf>
    <xf numFmtId="166" fontId="0" fillId="4" borderId="0" applyAlignment="1" pivotButton="0" quotePrefix="0" xfId="0">
      <alignment horizontal="center" vertical="center"/>
    </xf>
    <xf numFmtId="10" fontId="0" fillId="5" borderId="0" applyAlignment="1" pivotButton="0" quotePrefix="0" xfId="0">
      <alignment horizontal="center" vertical="center"/>
    </xf>
    <xf numFmtId="0" fontId="0" fillId="5" borderId="0" applyAlignment="1" pivotButton="0" quotePrefix="0" xfId="0">
      <alignment horizontal="center" vertical="center"/>
    </xf>
    <xf numFmtId="0" fontId="0" fillId="5" borderId="5" applyAlignment="1" pivotButton="0" quotePrefix="0" xfId="0">
      <alignment horizontal="center" vertical="center"/>
    </xf>
    <xf numFmtId="0" fontId="8" fillId="13" borderId="6" applyAlignment="1" pivotButton="0" quotePrefix="0" xfId="0">
      <alignment horizontal="center" vertical="center"/>
    </xf>
    <xf numFmtId="0" fontId="9" fillId="14" borderId="0" applyAlignment="1" pivotButton="0" quotePrefix="0" xfId="0">
      <alignment horizontal="center" vertical="center"/>
    </xf>
    <xf numFmtId="0" fontId="9" fillId="14" borderId="0" pivotButton="0" quotePrefix="0" xfId="0"/>
    <xf numFmtId="165" fontId="9" fillId="14" borderId="0" applyAlignment="1" pivotButton="0" quotePrefix="0" xfId="0">
      <alignment horizontal="center" vertical="center"/>
    </xf>
    <xf numFmtId="168" fontId="9" fillId="14" borderId="0" pivotButton="0" quotePrefix="0" xfId="0"/>
    <xf numFmtId="167" fontId="9" fillId="14" borderId="0" applyAlignment="1" pivotButton="0" quotePrefix="0" xfId="0">
      <alignment horizontal="center" vertical="center"/>
    </xf>
    <xf numFmtId="164" fontId="9" fillId="14" borderId="0" applyAlignment="1" pivotButton="0" quotePrefix="0" xfId="0">
      <alignment horizontal="center" vertical="center"/>
    </xf>
    <xf numFmtId="2" fontId="9" fillId="14" borderId="0" applyAlignment="1" pivotButton="0" quotePrefix="0" xfId="0">
      <alignment horizontal="center" vertical="center"/>
    </xf>
    <xf numFmtId="0" fontId="10" fillId="15" borderId="0" applyAlignment="1" pivotButton="0" quotePrefix="0" xfId="0">
      <alignment horizontal="center" vertical="center"/>
    </xf>
    <xf numFmtId="0" fontId="10" fillId="15" borderId="0" pivotButton="0" quotePrefix="0" xfId="0"/>
    <xf numFmtId="165" fontId="10" fillId="15" borderId="0" applyAlignment="1" pivotButton="0" quotePrefix="0" xfId="0">
      <alignment horizontal="center" vertical="center"/>
    </xf>
    <xf numFmtId="168" fontId="10" fillId="15" borderId="0" pivotButton="0" quotePrefix="0" xfId="0"/>
    <xf numFmtId="167" fontId="10" fillId="15" borderId="0" applyAlignment="1" pivotButton="0" quotePrefix="0" xfId="0">
      <alignment horizontal="center" vertical="center"/>
    </xf>
    <xf numFmtId="164" fontId="10" fillId="15" borderId="0" applyAlignment="1" pivotButton="0" quotePrefix="0" xfId="0">
      <alignment horizontal="center" vertical="center"/>
    </xf>
    <xf numFmtId="2" fontId="10" fillId="15" borderId="0" applyAlignment="1" pivotButton="0" quotePrefix="0" xfId="0">
      <alignment horizontal="center" vertical="center"/>
    </xf>
    <xf numFmtId="0" fontId="8" fillId="16" borderId="0" applyAlignment="1" pivotButton="0" quotePrefix="0" xfId="0">
      <alignment horizontal="center" vertical="center"/>
    </xf>
    <xf numFmtId="0" fontId="8" fillId="16" borderId="0" pivotButton="0" quotePrefix="0" xfId="0"/>
    <xf numFmtId="165" fontId="8" fillId="16" borderId="0" applyAlignment="1" pivotButton="0" quotePrefix="0" xfId="0">
      <alignment horizontal="center" vertical="center"/>
    </xf>
    <xf numFmtId="168" fontId="8" fillId="16" borderId="0" pivotButton="0" quotePrefix="0" xfId="0"/>
    <xf numFmtId="167" fontId="8" fillId="16" borderId="0" applyAlignment="1" pivotButton="0" quotePrefix="0" xfId="0">
      <alignment horizontal="center" vertical="center"/>
    </xf>
    <xf numFmtId="164" fontId="8" fillId="16" borderId="0" applyAlignment="1" pivotButton="0" quotePrefix="0" xfId="0">
      <alignment horizontal="center" vertical="center"/>
    </xf>
    <xf numFmtId="2" fontId="8" fillId="16" borderId="0" applyAlignment="1" pivotButton="0" quotePrefix="0" xfId="0">
      <alignment horizontal="center" vertical="center"/>
    </xf>
    <xf numFmtId="0" fontId="8" fillId="17" borderId="0" applyAlignment="1" pivotButton="0" quotePrefix="0" xfId="0">
      <alignment horizontal="center" vertical="center"/>
    </xf>
    <xf numFmtId="0" fontId="8" fillId="17" borderId="0" pivotButton="0" quotePrefix="0" xfId="0"/>
    <xf numFmtId="165" fontId="8" fillId="17" borderId="0" applyAlignment="1" pivotButton="0" quotePrefix="0" xfId="0">
      <alignment horizontal="center" vertical="center"/>
    </xf>
    <xf numFmtId="168" fontId="8" fillId="17" borderId="0" pivotButton="0" quotePrefix="0" xfId="0"/>
    <xf numFmtId="167" fontId="8" fillId="17" borderId="0" applyAlignment="1" pivotButton="0" quotePrefix="0" xfId="0">
      <alignment horizontal="center" vertical="center"/>
    </xf>
    <xf numFmtId="164" fontId="8" fillId="17" borderId="0" applyAlignment="1" pivotButton="0" quotePrefix="0" xfId="0">
      <alignment horizontal="center" vertical="center"/>
    </xf>
    <xf numFmtId="2" fontId="8" fillId="17" borderId="0" applyAlignment="1" pivotButton="0" quotePrefix="0" xfId="0">
      <alignment horizontal="center" vertical="center"/>
    </xf>
    <xf numFmtId="0" fontId="8" fillId="18" borderId="0" applyAlignment="1" pivotButton="0" quotePrefix="0" xfId="0">
      <alignment horizontal="center" vertical="center"/>
    </xf>
    <xf numFmtId="0" fontId="8" fillId="18" borderId="0" pivotButton="0" quotePrefix="0" xfId="0"/>
    <xf numFmtId="165" fontId="8" fillId="18" borderId="0" applyAlignment="1" pivotButton="0" quotePrefix="0" xfId="0">
      <alignment horizontal="center" vertical="center"/>
    </xf>
    <xf numFmtId="168" fontId="8" fillId="18" borderId="0" pivotButton="0" quotePrefix="0" xfId="0"/>
    <xf numFmtId="167" fontId="8" fillId="18" borderId="0" applyAlignment="1" pivotButton="0" quotePrefix="0" xfId="0">
      <alignment horizontal="center" vertical="center"/>
    </xf>
    <xf numFmtId="164" fontId="8" fillId="18" borderId="0" applyAlignment="1" pivotButton="0" quotePrefix="0" xfId="0">
      <alignment horizontal="center" vertical="center"/>
    </xf>
    <xf numFmtId="2" fontId="8" fillId="18" borderId="0" applyAlignment="1" pivotButton="0" quotePrefix="0" xfId="0">
      <alignment horizontal="center" vertical="center"/>
    </xf>
    <xf numFmtId="0" fontId="9" fillId="19" borderId="7" applyAlignment="1" pivotButton="0" quotePrefix="0" xfId="0">
      <alignment horizontal="center" vertical="center"/>
    </xf>
    <xf numFmtId="0" fontId="9" fillId="20" borderId="9" applyAlignment="1" pivotButton="0" quotePrefix="0" xfId="0">
      <alignment horizontal="center" vertical="center"/>
    </xf>
    <xf numFmtId="0" fontId="9" fillId="20" borderId="0" applyAlignment="1" pivotButton="0" quotePrefix="0" xfId="0">
      <alignment horizontal="center" vertical="center"/>
    </xf>
    <xf numFmtId="0" fontId="9" fillId="15" borderId="0" applyAlignment="1" pivotButton="0" quotePrefix="0" xfId="0">
      <alignment horizontal="center" vertical="center"/>
    </xf>
    <xf numFmtId="0" fontId="9" fillId="22" borderId="9" applyAlignment="1" pivotButton="0" quotePrefix="0" xfId="0">
      <alignment horizontal="center" vertical="center"/>
    </xf>
    <xf numFmtId="0" fontId="9" fillId="22" borderId="0" applyAlignment="1" pivotButton="0" quotePrefix="0" xfId="0">
      <alignment horizontal="center" vertical="center"/>
    </xf>
    <xf numFmtId="168" fontId="9" fillId="19" borderId="8" applyAlignment="1" pivotButton="0" quotePrefix="0" xfId="0">
      <alignment horizontal="center" vertical="center"/>
    </xf>
    <xf numFmtId="10" fontId="9" fillId="20" borderId="0" applyAlignment="1" pivotButton="0" quotePrefix="0" xfId="0">
      <alignment horizontal="center" vertical="center"/>
    </xf>
    <xf numFmtId="10" fontId="9" fillId="15" borderId="0" applyAlignment="1" pivotButton="0" quotePrefix="0" xfId="0">
      <alignment horizontal="center" vertical="center"/>
    </xf>
    <xf numFmtId="10" fontId="9" fillId="22" borderId="0" applyAlignment="1" pivotButton="0" quotePrefix="0" xfId="0">
      <alignment horizontal="center" vertical="center"/>
    </xf>
    <xf numFmtId="0" fontId="9" fillId="21" borderId="7" applyAlignment="1" pivotButton="0" quotePrefix="0" xfId="0">
      <alignment horizontal="center" vertical="center"/>
    </xf>
    <xf numFmtId="0" fontId="9" fillId="21" borderId="9" applyAlignment="1" pivotButton="0" quotePrefix="0" xfId="0">
      <alignment horizontal="center" vertical="center"/>
    </xf>
    <xf numFmtId="0" fontId="9" fillId="21" borderId="0" applyAlignment="1" pivotButton="0" quotePrefix="0" xfId="0">
      <alignment horizontal="center" vertical="center"/>
    </xf>
    <xf numFmtId="168" fontId="9" fillId="21" borderId="8" applyAlignment="1" pivotButton="0" quotePrefix="0" xfId="0">
      <alignment horizontal="center" vertical="center"/>
    </xf>
    <xf numFmtId="10" fontId="9" fillId="21" borderId="0" applyAlignment="1" pivotButton="0" quotePrefix="0" xfId="0">
      <alignment horizontal="center" vertical="center"/>
    </xf>
    <xf numFmtId="168" fontId="0" fillId="0" borderId="0" pivotButton="0" quotePrefix="0" xfId="0"/>
    <xf numFmtId="168" fontId="11" fillId="21" borderId="0" pivotButton="0" quotePrefix="0" xfId="0"/>
    <xf numFmtId="168" fontId="12" fillId="15" borderId="0" pivotButton="0" quotePrefix="0" xfId="0"/>
    <xf numFmtId="0" fontId="0" fillId="19" borderId="9" applyAlignment="1" pivotButton="0" quotePrefix="0" xfId="0">
      <alignment horizontal="center" vertical="center"/>
    </xf>
    <xf numFmtId="0" fontId="0" fillId="19" borderId="0" applyAlignment="1" pivotButton="0" quotePrefix="0" xfId="0">
      <alignment horizontal="center" vertical="center"/>
    </xf>
    <xf numFmtId="0" fontId="0" fillId="20" borderId="9" applyAlignment="1" pivotButton="0" quotePrefix="0" xfId="0">
      <alignment horizontal="center" vertical="center"/>
    </xf>
    <xf numFmtId="0" fontId="0" fillId="20" borderId="0" applyAlignment="1" pivotButton="0" quotePrefix="0" xfId="0">
      <alignment horizontal="center" vertical="center"/>
    </xf>
    <xf numFmtId="0" fontId="0" fillId="15" borderId="9" applyAlignment="1" pivotButton="0" quotePrefix="0" xfId="0">
      <alignment horizontal="center" vertical="center"/>
    </xf>
    <xf numFmtId="0" fontId="0" fillId="15" borderId="0" applyAlignment="1" pivotButton="0" quotePrefix="0" xfId="0">
      <alignment horizontal="center" vertical="center"/>
    </xf>
    <xf numFmtId="0" fontId="0" fillId="14" borderId="9" applyAlignment="1" pivotButton="0" quotePrefix="0" xfId="0">
      <alignment horizontal="center" vertical="center"/>
    </xf>
    <xf numFmtId="0" fontId="0" fillId="14" borderId="0" applyAlignment="1" pivotButton="0" quotePrefix="0" xfId="0">
      <alignment horizontal="center" vertical="center"/>
    </xf>
    <xf numFmtId="168" fontId="0" fillId="19" borderId="0" applyAlignment="1" pivotButton="0" quotePrefix="0" xfId="0">
      <alignment horizontal="center" vertical="center"/>
    </xf>
    <xf numFmtId="168" fontId="0" fillId="20" borderId="0" applyAlignment="1" pivotButton="0" quotePrefix="0" xfId="0">
      <alignment horizontal="center" vertical="center"/>
    </xf>
    <xf numFmtId="168" fontId="0" fillId="15" borderId="0" applyAlignment="1" pivotButton="0" quotePrefix="0" xfId="0">
      <alignment horizontal="center" vertical="center"/>
    </xf>
    <xf numFmtId="10" fontId="0" fillId="14" borderId="0" applyAlignment="1" pivotButton="0" quotePrefix="0" xfId="0">
      <alignment horizontal="center" vertical="center"/>
    </xf>
    <xf numFmtId="168" fontId="9" fillId="14" borderId="0" pivotButton="0" quotePrefix="0" xfId="0"/>
    <xf numFmtId="168" fontId="10" fillId="15" borderId="0" pivotButton="0" quotePrefix="0" xfId="0"/>
    <xf numFmtId="168" fontId="8" fillId="16" borderId="0" pivotButton="0" quotePrefix="0" xfId="0"/>
    <xf numFmtId="168" fontId="8" fillId="17" borderId="0" pivotButton="0" quotePrefix="0" xfId="0"/>
    <xf numFmtId="168" fontId="8" fillId="18" borderId="0" pivotButton="0" quotePrefix="0" xfId="0"/>
    <xf numFmtId="168" fontId="9" fillId="19" borderId="8" applyAlignment="1" pivotButton="0" quotePrefix="0" xfId="0">
      <alignment horizontal="center" vertical="center"/>
    </xf>
    <xf numFmtId="168" fontId="9" fillId="21" borderId="8" applyAlignment="1" pivotButton="0" quotePrefix="0" xfId="0">
      <alignment horizontal="center" vertical="center"/>
    </xf>
    <xf numFmtId="168" fontId="0" fillId="0" borderId="0" pivotButton="0" quotePrefix="0" xfId="0"/>
    <xf numFmtId="168" fontId="11" fillId="21" borderId="0" pivotButton="0" quotePrefix="0" xfId="0"/>
    <xf numFmtId="168" fontId="12" fillId="15" borderId="0" pivotButton="0" quotePrefix="0" xfId="0"/>
    <xf numFmtId="168" fontId="0" fillId="19" borderId="0" applyAlignment="1" pivotButton="0" quotePrefix="0" xfId="0">
      <alignment horizontal="center" vertical="center"/>
    </xf>
    <xf numFmtId="168" fontId="0" fillId="20" borderId="0" applyAlignment="1" pivotButton="0" quotePrefix="0" xfId="0">
      <alignment horizontal="center" vertical="center"/>
    </xf>
    <xf numFmtId="168" fontId="0" fillId="15" borderId="0" applyAlignment="1" pivotButton="0" quotePrefix="0" xfId="0">
      <alignment horizontal="center" vertical="center"/>
    </xf>
  </cellXfs>
  <cellStyles count="3">
    <cellStyle name="Κανονικό" xfId="0" builtinId="0"/>
    <cellStyle name="Υπερ-σύνδεση" xfId="1"/>
    <cellStyle name="Hyperlink" xfId="2"/>
  </cellStyles>
  <dxfs count="9">
    <dxf>
      <fill>
        <patternFill patternType="solid">
          <fgColor rgb="FFF4CCCC"/>
        </patternFill>
      </fill>
    </dxf>
    <dxf>
      <fill>
        <patternFill patternType="solid">
          <fgColor rgb="FFC6E0B4"/>
        </patternFill>
      </fill>
    </dxf>
    <dxf>
      <fill>
        <patternFill patternType="solid">
          <fgColor rgb="FFFFF2CC"/>
        </patternFill>
      </fill>
    </dxf>
    <dxf>
      <fill>
        <patternFill patternType="solid">
          <fgColor rgb="FFFCE4D6"/>
        </patternFill>
      </fill>
    </dxf>
    <dxf>
      <fill>
        <patternFill patternType="solid">
          <fgColor rgb="FFE2F0D9"/>
        </patternFill>
      </fill>
    </dxf>
    <dxf>
      <fill>
        <patternFill patternType="solid">
          <fgColor rgb="FFFCE4D6"/>
        </patternFill>
      </fill>
    </dxf>
    <dxf>
      <fill>
        <patternFill patternType="solid">
          <fgColor rgb="FFE2F0D9"/>
        </patternFill>
      </fill>
    </dxf>
    <dxf>
      <fill>
        <patternFill patternType="solid">
          <fgColor rgb="00E2F0D9"/>
        </patternFill>
      </fill>
    </dxf>
    <dxf>
      <fill>
        <patternFill patternType="solid">
          <fgColor rgb="00FCE4D6"/>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ables/table1.xml><?xml version="1.0" encoding="utf-8"?>
<table xmlns="http://schemas.openxmlformats.org/spreadsheetml/2006/main" id="1" name="StockSummary" displayName="StockSummary" ref="A1:V69" headerRowCount="1">
  <autoFilter ref="A1:V69"/>
  <tableColumns count="22">
    <tableColumn id="1" name="symbol"/>
    <tableColumn id="2" name="name"/>
    <tableColumn id="3" name="sector"/>
    <tableColumn id="4" name="country"/>
    <tableColumn id="5" name="platform"/>
    <tableColumn id="6" name="purchase_date"/>
    <tableColumn id="7" name="purchase_price"/>
    <tableColumn id="8" name="quantity"/>
    <tableColumn id="9" name="current_price"/>
    <tableColumn id="10" name="market_value"/>
    <tableColumn id="11" name="percent_change"/>
    <tableColumn id="12" name="monthly_percent_change"/>
    <tableColumn id="13" name="avg_monthly_change"/>
    <tableColumn id="14" name="portfolio_weight"/>
    <tableColumn id="15" name="vuaa_return"/>
    <tableColumn id="16" name="excess_return"/>
    <tableColumn id="17" name="fcf_yield"/>
    <tableColumn id="18" name="fcf_growth"/>
    <tableColumn id="19" name="roic"/>
    <tableColumn id="20" name="forward_revenue_growth"/>
    <tableColumn id="21" name="forward_eps_growth"/>
    <tableColumn id="22" name="final_score"/>
  </tableColumns>
  <tableStyleInfo name="TableStyleMedium2" showFirstColumn="0" showLastColumn="0" showRowStripes="1" showColumnStripes="0"/>
</table>
</file>

<file path=xl/tables/table2.xml><?xml version="1.0" encoding="utf-8"?>
<table xmlns="http://schemas.openxmlformats.org/spreadsheetml/2006/main" id="2" name="SoldSummary" displayName="SoldSummary" ref="A1:J16" headerRowCount="1">
  <autoFilter ref="A1:J16"/>
  <tableColumns count="10">
    <tableColumn id="1" name="symbol"/>
    <tableColumn id="2" name="sector"/>
    <tableColumn id="3" name="platform"/>
    <tableColumn id="4" name="purchase_date"/>
    <tableColumn id="5" name="sell_date"/>
    <tableColumn id="6" name="purchase_price"/>
    <tableColumn id="7" name="quantity"/>
    <tableColumn id="8" name="current_price"/>
    <tableColumn id="9" name="percent_change"/>
    <tableColumn id="10" name="total_profit_loss"/>
  </tableColumns>
  <tableStyleInfo name="TableStyleMedium2" showFirstColumn="0" showLastColumn="0" showRowStripes="1" showColumnStripes="0"/>
</table>
</file>

<file path=xl/tables/table3.xml><?xml version="1.0" encoding="utf-8"?>
<table xmlns="http://schemas.openxmlformats.org/spreadsheetml/2006/main" id="3" name="CandidateResearch" displayName="CandidateResearch" ref="A1:Y21" headerRowCount="1">
  <autoFilter ref="A1:Y21">
    <filterColumn colId="4" hiddenButton="0" showButton="1">
      <filters>
        <filter val="United States"/>
      </filters>
    </filterColumn>
  </autoFilter>
  <tableColumns count="25">
    <tableColumn id="1" name="rank"/>
    <tableColumn id="2" name="symbol"/>
    <tableColumn id="3" name="name"/>
    <tableColumn id="4" name="sector"/>
    <tableColumn id="5" name="country"/>
    <tableColumn id="6" name="currency"/>
    <tableColumn id="7" name="current_price"/>
    <tableColumn id="8" name="high_52w"/>
    <tableColumn id="9" name="price_25pct_below_high"/>
    <tableColumn id="10" name="drop_from_52w_high_amount"/>
    <tableColumn id="11" name="discount_from_52w_high_pct"/>
    <tableColumn id="12" name="meets_25pct_discount"/>
    <tableColumn id="13" name="already_in_portfolio"/>
    <tableColumn id="14" name="fcf_yield"/>
    <tableColumn id="15" name="fcf_growth"/>
    <tableColumn id="16" name="roic"/>
    <tableColumn id="17" name="forward_revenue_growth"/>
    <tableColumn id="18" name="forward_eps_growth"/>
    <tableColumn id="19" name="final_score"/>
    <tableColumn id="20" name="market_cap"/>
    <tableColumn id="21" name="validation_status"/>
    <tableColumn id="22" name="validation_source"/>
    <tableColumn id="23" name="researched_at"/>
    <tableColumn id="24" name="source_url"/>
    <tableColumn id="25" name="dashboard_analysis"/>
  </tableColumns>
  <tableStyleInfo name="TableStyleMedium2" showFirstColumn="0" showLastColumn="0" showRowStripes="1" showColumnStripes="0"/>
</table>
</file>

<file path=xl/theme/theme1.xml><?xml version="1.0" encoding="utf-8"?>
<a:theme xmlns:a="http://schemas.openxmlformats.org/drawingml/2006/main" name="Θέμα του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_rels/sheet2.xml.rels><Relationships xmlns="http://schemas.openxmlformats.org/package/2006/relationships"><Relationship Type="http://schemas.openxmlformats.org/officeDocument/2006/relationships/table" Target="/xl/tables/table2.xml" Id="rId1"/></Relationships>
</file>

<file path=xl/worksheets/_rels/sheet3.xml.rels><Relationships xmlns="http://schemas.openxmlformats.org/package/2006/relationships"><Relationship Type="http://schemas.openxmlformats.org/officeDocument/2006/relationships/hyperlink" Target="https://finance.yahoo.com/quote/TEK.L" TargetMode="External" Id="rId1"/><Relationship Type="http://schemas.openxmlformats.org/officeDocument/2006/relationships/hyperlink" Target="https://finance.yahoo.com/quote/ZZ-B.ST" TargetMode="External" Id="rId2"/><Relationship Type="http://schemas.openxmlformats.org/officeDocument/2006/relationships/hyperlink" Target="https://finance.yahoo.com/quote/JMT.LS" TargetMode="External" Id="rId3"/><Relationship Type="http://schemas.openxmlformats.org/officeDocument/2006/relationships/hyperlink" Target="https://finance.yahoo.com/quote/BCRX" TargetMode="External" Id="rId4"/><Relationship Type="http://schemas.openxmlformats.org/officeDocument/2006/relationships/hyperlink" Target="https://finance.yahoo.com/quote/UROY" TargetMode="External" Id="rId5"/><Relationship Type="http://schemas.openxmlformats.org/officeDocument/2006/relationships/hyperlink" Target="https://finance.yahoo.com/quote/WIHL.ST" TargetMode="External" Id="rId6"/><Relationship Type="http://schemas.openxmlformats.org/officeDocument/2006/relationships/hyperlink" Target="https://finance.yahoo.com/quote/APP" TargetMode="External" Id="rId7"/><Relationship Type="http://schemas.openxmlformats.org/officeDocument/2006/relationships/hyperlink" Target="https://finance.yahoo.com/quote/ROVI.MC" TargetMode="External" Id="rId8"/><Relationship Type="http://schemas.openxmlformats.org/officeDocument/2006/relationships/hyperlink" Target="https://finance.yahoo.com/quote/RHM.DE" TargetMode="External" Id="rId9"/><Relationship Type="http://schemas.openxmlformats.org/officeDocument/2006/relationships/hyperlink" Target="https://finance.yahoo.com/quote/CDE" TargetMode="External" Id="rId10"/><Relationship Type="http://schemas.openxmlformats.org/officeDocument/2006/relationships/hyperlink" Target="https://finance.yahoo.com/quote/RDDT" TargetMode="External" Id="rId11"/><Relationship Type="http://schemas.openxmlformats.org/officeDocument/2006/relationships/hyperlink" Target="https://finance.yahoo.com/quote/SNDK" TargetMode="External" Id="rId12"/><Relationship Type="http://schemas.openxmlformats.org/officeDocument/2006/relationships/hyperlink" Target="https://finance.yahoo.com/quote/AU" TargetMode="External" Id="rId13"/><Relationship Type="http://schemas.openxmlformats.org/officeDocument/2006/relationships/hyperlink" Target="https://finance.yahoo.com/quote/ALNY" TargetMode="External" Id="rId14"/><Relationship Type="http://schemas.openxmlformats.org/officeDocument/2006/relationships/hyperlink" Target="https://finance.yahoo.com/quote/LOGI-B.ST" TargetMode="External" Id="rId15"/><Relationship Type="http://schemas.openxmlformats.org/officeDocument/2006/relationships/hyperlink" Target="https://finance.yahoo.com/quote/CELH" TargetMode="External" Id="rId16"/><Relationship Type="http://schemas.openxmlformats.org/officeDocument/2006/relationships/hyperlink" Target="https://finance.yahoo.com/quote/AIP" TargetMode="External" Id="rId17"/><Relationship Type="http://schemas.openxmlformats.org/officeDocument/2006/relationships/hyperlink" Target="https://finance.yahoo.com/quote/VRT" TargetMode="External" Id="rId18"/><Relationship Type="http://schemas.openxmlformats.org/officeDocument/2006/relationships/hyperlink" Target="https://finance.yahoo.com/quote/IRWD" TargetMode="External" Id="rId19"/><Relationship Type="http://schemas.openxmlformats.org/officeDocument/2006/relationships/hyperlink" Target="https://finance.yahoo.com/quote/KER.PA" TargetMode="External" Id="rId20"/><Relationship Type="http://schemas.openxmlformats.org/officeDocument/2006/relationships/table" Target="/xl/tables/table3.xml" Id="rId21"/></Relationships>
</file>

<file path=xl/worksheets/sheet1.xml><?xml version="1.0" encoding="utf-8"?>
<worksheet xmlns="http://schemas.openxmlformats.org/spreadsheetml/2006/main">
  <sheetPr>
    <outlinePr summaryBelow="1" summaryRight="1"/>
    <pageSetUpPr/>
  </sheetPr>
  <dimension ref="A1:V80"/>
  <sheetViews>
    <sheetView tabSelected="1" workbookViewId="0">
      <pane ySplit="1" topLeftCell="A2" activePane="bottomLeft" state="frozen"/>
      <selection pane="bottomLeft" activeCell="A18" sqref="A18:V18"/>
    </sheetView>
  </sheetViews>
  <sheetFormatPr baseColWidth="8" defaultRowHeight="14.4"/>
  <cols>
    <col width="12" customWidth="1" min="1" max="1"/>
    <col width="38" customWidth="1" min="2" max="2"/>
    <col hidden="1" width="22" customWidth="1" min="3" max="3"/>
    <col width="18" customWidth="1" min="4" max="4"/>
    <col width="13" customWidth="1" min="5" max="5"/>
    <col width="15" customWidth="1" min="6" max="6"/>
    <col hidden="1" width="16" customWidth="1" min="7" max="7"/>
    <col width="12" customWidth="1" min="8" max="8"/>
    <col hidden="1" width="16" customWidth="1" min="9" max="10"/>
    <col hidden="1" width="16" customWidth="1" min="10" max="10"/>
    <col width="17" customWidth="1" min="11" max="11"/>
    <col width="25" customWidth="1" min="12" max="12"/>
    <col width="22" customWidth="1" min="13" max="13"/>
    <col width="18" customWidth="1" min="14" max="14"/>
    <col width="14" customWidth="1" min="15" max="15"/>
    <col width="15" customWidth="1" min="16" max="16"/>
    <col hidden="1" width="14" customWidth="1" min="17" max="17"/>
    <col hidden="1" width="15" customWidth="1" min="18" max="18"/>
    <col hidden="1" width="12" customWidth="1" min="19" max="19"/>
    <col hidden="1" width="24" customWidth="1" min="20" max="20"/>
    <col hidden="1" width="21" customWidth="1" min="21" max="21"/>
    <col width="14" customWidth="1" min="22" max="23"/>
    <col width="17" customWidth="1" min="24" max="24"/>
    <col width="18" customWidth="1" min="25" max="25"/>
    <col width="14" customWidth="1" min="26" max="26"/>
    <col width="18" customWidth="1" min="27" max="114"/>
    <col width="10" customWidth="1" min="115" max="1014"/>
    <col width="11" customWidth="1" min="1015" max="10014"/>
    <col width="12" customWidth="1" min="10015" max="16384"/>
  </cols>
  <sheetData>
    <row r="1" ht="24" customHeight="1">
      <c r="A1" s="78" t="inlineStr">
        <is>
          <t>symbol</t>
        </is>
      </c>
      <c r="B1" s="78" t="inlineStr">
        <is>
          <t>name</t>
        </is>
      </c>
      <c r="C1" s="78" t="inlineStr">
        <is>
          <t>sector</t>
        </is>
      </c>
      <c r="D1" s="78" t="inlineStr">
        <is>
          <t>country</t>
        </is>
      </c>
      <c r="E1" s="78" t="inlineStr">
        <is>
          <t>platform</t>
        </is>
      </c>
      <c r="F1" s="78" t="inlineStr">
        <is>
          <t>purchase_date</t>
        </is>
      </c>
      <c r="G1" s="78" t="inlineStr">
        <is>
          <t>purchase_price</t>
        </is>
      </c>
      <c r="H1" s="78" t="inlineStr">
        <is>
          <t>quantity</t>
        </is>
      </c>
      <c r="I1" s="78" t="inlineStr">
        <is>
          <t>current_price</t>
        </is>
      </c>
      <c r="J1" s="78" t="inlineStr">
        <is>
          <t>market_value</t>
        </is>
      </c>
      <c r="K1" s="78" t="inlineStr">
        <is>
          <t>percent_change</t>
        </is>
      </c>
      <c r="L1" s="78" t="inlineStr">
        <is>
          <t>monthly_percent_change</t>
        </is>
      </c>
      <c r="M1" s="78" t="inlineStr">
        <is>
          <t>avg_monthly_change</t>
        </is>
      </c>
      <c r="N1" s="78" t="inlineStr">
        <is>
          <t>portfolio_weight</t>
        </is>
      </c>
      <c r="O1" s="78" t="inlineStr">
        <is>
          <t>vuaa_return</t>
        </is>
      </c>
      <c r="P1" s="78" t="inlineStr">
        <is>
          <t>excess_return</t>
        </is>
      </c>
      <c r="Q1" s="78" t="inlineStr">
        <is>
          <t>fcf_yield</t>
        </is>
      </c>
      <c r="R1" s="78" t="inlineStr">
        <is>
          <t>fcf_growth</t>
        </is>
      </c>
      <c r="S1" s="78" t="inlineStr">
        <is>
          <t>roic</t>
        </is>
      </c>
      <c r="T1" s="78" t="inlineStr">
        <is>
          <t>forward_revenue_growth</t>
        </is>
      </c>
      <c r="U1" s="78" t="inlineStr">
        <is>
          <t>forward_eps_growth</t>
        </is>
      </c>
      <c r="V1" s="78" t="inlineStr">
        <is>
          <t>final_score</t>
        </is>
      </c>
    </row>
    <row r="2">
      <c r="A2" s="79" t="inlineStr">
        <is>
          <t>VUAA.L</t>
        </is>
      </c>
      <c r="B2" s="80" t="inlineStr">
        <is>
          <t>Vanguard S&amp;P 500 (Acc)</t>
        </is>
      </c>
      <c r="C2" s="79" t="n"/>
      <c r="D2" s="79" t="n"/>
      <c r="E2" s="79" t="inlineStr">
        <is>
          <t>Trading212</t>
        </is>
      </c>
      <c r="F2" s="81" t="n">
        <v>46224</v>
      </c>
      <c r="G2" s="144" t="n">
        <v>126.56</v>
      </c>
      <c r="H2" s="83" t="n">
        <v>16.14269911</v>
      </c>
      <c r="I2" s="144" t="n">
        <v>134.74</v>
      </c>
      <c r="J2" s="144" t="n">
        <v>2175.07</v>
      </c>
      <c r="K2" s="84" t="n">
        <v>6.46</v>
      </c>
      <c r="L2" s="84" t="n">
        <v>1.71</v>
      </c>
      <c r="M2" s="84" t="n">
        <v>3.23</v>
      </c>
      <c r="N2" s="84" t="n">
        <v>2.27</v>
      </c>
      <c r="O2" s="84" t="n">
        <v>6.11</v>
      </c>
      <c r="P2" s="84" t="n">
        <v>0.35</v>
      </c>
      <c r="Q2" s="84" t="n"/>
      <c r="R2" s="84" t="n"/>
      <c r="S2" s="84" t="n"/>
      <c r="T2" s="84" t="n"/>
      <c r="U2" s="84" t="n"/>
      <c r="V2" s="85" t="n"/>
    </row>
    <row r="3">
      <c r="A3" s="86" t="inlineStr">
        <is>
          <t>BSX</t>
        </is>
      </c>
      <c r="B3" s="87" t="inlineStr">
        <is>
          <t>Boston Scientific</t>
        </is>
      </c>
      <c r="C3" s="86" t="inlineStr">
        <is>
          <t>Healthcare</t>
        </is>
      </c>
      <c r="D3" s="86" t="inlineStr">
        <is>
          <t>United States</t>
        </is>
      </c>
      <c r="E3" s="86" t="inlineStr">
        <is>
          <t>Trading212</t>
        </is>
      </c>
      <c r="F3" s="88" t="n">
        <v>46261</v>
      </c>
      <c r="G3" s="145" t="n">
        <v>40.46</v>
      </c>
      <c r="H3" s="90" t="n">
        <v>47</v>
      </c>
      <c r="I3" s="145" t="n">
        <v>38.08</v>
      </c>
      <c r="J3" s="145" t="n">
        <v>1789.76</v>
      </c>
      <c r="K3" s="91" t="n">
        <v>-5.88</v>
      </c>
      <c r="L3" s="91" t="n">
        <v>-0.58</v>
      </c>
      <c r="M3" s="91" t="n">
        <v>-5.88</v>
      </c>
      <c r="N3" s="91" t="n">
        <v>1.87</v>
      </c>
      <c r="O3" s="91" t="n">
        <v>5.15</v>
      </c>
      <c r="P3" s="91" t="n">
        <v>-11.03</v>
      </c>
      <c r="Q3" s="91" t="n">
        <v>5.5</v>
      </c>
      <c r="R3" s="91" t="n">
        <v>43.93</v>
      </c>
      <c r="S3" s="91" t="n">
        <v>9.550000000000001</v>
      </c>
      <c r="T3" s="91" t="n">
        <v>4.77</v>
      </c>
      <c r="U3" s="91" t="n">
        <v>3.86</v>
      </c>
      <c r="V3" s="92" t="n">
        <v>53.03</v>
      </c>
    </row>
    <row r="4">
      <c r="A4" s="86" t="inlineStr">
        <is>
          <t>NVDA</t>
        </is>
      </c>
      <c r="B4" s="87" t="inlineStr">
        <is>
          <t>Nvidia</t>
        </is>
      </c>
      <c r="C4" s="86" t="inlineStr">
        <is>
          <t>Technology</t>
        </is>
      </c>
      <c r="D4" s="86" t="inlineStr">
        <is>
          <t>United States</t>
        </is>
      </c>
      <c r="E4" s="86" t="inlineStr">
        <is>
          <t>Trading212</t>
        </is>
      </c>
      <c r="F4" s="88" t="n">
        <v>46301</v>
      </c>
      <c r="G4" s="145" t="n">
        <v>213.63</v>
      </c>
      <c r="H4" s="90" t="n">
        <v>8.67721214</v>
      </c>
      <c r="I4" s="145" t="n">
        <v>204.66</v>
      </c>
      <c r="J4" s="145" t="n">
        <v>1775.88</v>
      </c>
      <c r="K4" s="91" t="n">
        <v>-4.2</v>
      </c>
      <c r="L4" s="91" t="n">
        <v>5.03</v>
      </c>
      <c r="M4" s="91" t="n">
        <v>-4.2</v>
      </c>
      <c r="N4" s="91" t="n">
        <v>1.86</v>
      </c>
      <c r="O4" s="91" t="n">
        <v>-0.44</v>
      </c>
      <c r="P4" s="91" t="n">
        <v>-3.76</v>
      </c>
      <c r="Q4" s="91" t="n">
        <v>1.75</v>
      </c>
      <c r="R4" s="91" t="n">
        <v>58.87</v>
      </c>
      <c r="S4" s="91" t="n">
        <v>66.77</v>
      </c>
      <c r="T4" s="91" t="n">
        <v>68.15000000000001</v>
      </c>
      <c r="U4" s="91" t="n">
        <v>70.90000000000001</v>
      </c>
      <c r="V4" s="92" t="n">
        <v>75.31999999999999</v>
      </c>
    </row>
    <row r="5">
      <c r="A5" s="86" t="inlineStr">
        <is>
          <t>EGLN.L</t>
        </is>
      </c>
      <c r="B5" s="87" t="inlineStr">
        <is>
          <t>iShares Physical Gold</t>
        </is>
      </c>
      <c r="C5" s="86" t="n"/>
      <c r="D5" s="86" t="n"/>
      <c r="E5" s="86" t="inlineStr">
        <is>
          <t>Trading212</t>
        </is>
      </c>
      <c r="F5" s="88" t="n">
        <v>45621</v>
      </c>
      <c r="G5" s="145" t="n">
        <v>81.17</v>
      </c>
      <c r="H5" s="90" t="n">
        <v>17.014908</v>
      </c>
      <c r="I5" s="145" t="n">
        <v>72.61</v>
      </c>
      <c r="J5" s="145" t="n">
        <v>1235.45</v>
      </c>
      <c r="K5" s="91" t="n">
        <v>-10.55</v>
      </c>
      <c r="L5" s="91" t="n">
        <v>-0.64</v>
      </c>
      <c r="M5" s="91" t="n">
        <v>-0.48</v>
      </c>
      <c r="N5" s="91" t="n">
        <v>1.29</v>
      </c>
      <c r="O5" s="91" t="n">
        <v>23.99</v>
      </c>
      <c r="P5" s="91" t="n">
        <v>-34.54</v>
      </c>
      <c r="Q5" s="91" t="n"/>
      <c r="R5" s="91" t="n"/>
      <c r="S5" s="91" t="n"/>
      <c r="T5" s="91" t="n"/>
      <c r="U5" s="91" t="n"/>
      <c r="V5" s="92" t="n"/>
    </row>
    <row r="6">
      <c r="A6" s="93" t="inlineStr">
        <is>
          <t>ROP</t>
        </is>
      </c>
      <c r="B6" s="94" t="inlineStr">
        <is>
          <t>Roper Technologies</t>
        </is>
      </c>
      <c r="C6" s="93" t="inlineStr">
        <is>
          <t>Technology</t>
        </is>
      </c>
      <c r="D6" s="93" t="inlineStr">
        <is>
          <t>United States</t>
        </is>
      </c>
      <c r="E6" s="93" t="inlineStr">
        <is>
          <t>Trading212</t>
        </is>
      </c>
      <c r="F6" s="95" t="n">
        <v>46293</v>
      </c>
      <c r="G6" s="146" t="n">
        <v>309.27</v>
      </c>
      <c r="H6" s="97" t="n">
        <v>4.47586725</v>
      </c>
      <c r="I6" s="146" t="n">
        <v>324.96</v>
      </c>
      <c r="J6" s="146" t="n">
        <v>1454.48</v>
      </c>
      <c r="K6" s="98" t="n">
        <v>5.07</v>
      </c>
      <c r="L6" s="98" t="n">
        <v>-6.29</v>
      </c>
      <c r="M6" s="98" t="n">
        <v>5.07</v>
      </c>
      <c r="N6" s="98" t="n">
        <v>1.52</v>
      </c>
      <c r="O6" s="98" t="n">
        <v>3.12</v>
      </c>
      <c r="P6" s="98" t="n">
        <v>1.95</v>
      </c>
      <c r="Q6" s="98" t="n">
        <v>6.76</v>
      </c>
      <c r="R6" s="98" t="n">
        <v>6.72</v>
      </c>
      <c r="S6" s="98" t="n">
        <v>6.08</v>
      </c>
      <c r="T6" s="98" t="n">
        <v>6.23</v>
      </c>
      <c r="U6" s="98" t="n">
        <v>9.73</v>
      </c>
      <c r="V6" s="99" t="n">
        <v>38.99</v>
      </c>
    </row>
    <row r="7">
      <c r="A7" s="79" t="inlineStr">
        <is>
          <t>BCRX</t>
        </is>
      </c>
      <c r="B7" s="80" t="inlineStr">
        <is>
          <t>BioCryst Pharmaceuticals</t>
        </is>
      </c>
      <c r="C7" s="79" t="inlineStr">
        <is>
          <t>Healthcare</t>
        </is>
      </c>
      <c r="D7" s="79" t="inlineStr">
        <is>
          <t>United States</t>
        </is>
      </c>
      <c r="E7" s="79" t="inlineStr">
        <is>
          <t>Trading212</t>
        </is>
      </c>
      <c r="F7" s="81" t="n">
        <v>46300</v>
      </c>
      <c r="G7" s="144" t="n">
        <v>7.36</v>
      </c>
      <c r="H7" s="83" t="n">
        <v>190</v>
      </c>
      <c r="I7" s="144" t="n">
        <v>7.63</v>
      </c>
      <c r="J7" s="144" t="n">
        <v>1449.7</v>
      </c>
      <c r="K7" s="84" t="n">
        <v>3.67</v>
      </c>
      <c r="L7" s="84" t="n">
        <v>5.3</v>
      </c>
      <c r="M7" s="84" t="n">
        <v>3.67</v>
      </c>
      <c r="N7" s="84" t="n">
        <v>1.52</v>
      </c>
      <c r="O7" s="84" t="n">
        <v>0.96</v>
      </c>
      <c r="P7" s="84" t="n">
        <v>2.71</v>
      </c>
      <c r="Q7" s="84" t="n">
        <v>15.79</v>
      </c>
      <c r="R7" s="84" t="n"/>
      <c r="S7" s="84" t="n">
        <v>109.22</v>
      </c>
      <c r="T7" s="84" t="n">
        <v>4.02</v>
      </c>
      <c r="U7" s="84" t="n">
        <v>26.17</v>
      </c>
      <c r="V7" s="85" t="n">
        <v>87.43000000000001</v>
      </c>
    </row>
    <row r="8">
      <c r="A8" s="93" t="inlineStr">
        <is>
          <t>RDDT</t>
        </is>
      </c>
      <c r="B8" s="94" t="inlineStr">
        <is>
          <t>Reddit</t>
        </is>
      </c>
      <c r="C8" s="93" t="inlineStr">
        <is>
          <t>Communication Services</t>
        </is>
      </c>
      <c r="D8" s="93" t="inlineStr">
        <is>
          <t>United States</t>
        </is>
      </c>
      <c r="E8" s="93" t="inlineStr">
        <is>
          <t>Trading212</t>
        </is>
      </c>
      <c r="F8" s="95" t="n">
        <v>46300</v>
      </c>
      <c r="G8" s="146" t="n">
        <v>132.54</v>
      </c>
      <c r="H8" s="97" t="n">
        <v>12</v>
      </c>
      <c r="I8" s="146" t="n">
        <v>142.51</v>
      </c>
      <c r="J8" s="146" t="n">
        <v>1710.12</v>
      </c>
      <c r="K8" s="98" t="n">
        <v>7.52</v>
      </c>
      <c r="L8" s="98" t="n">
        <v>1.36</v>
      </c>
      <c r="M8" s="98" t="n">
        <v>7.52</v>
      </c>
      <c r="N8" s="98" t="n">
        <v>1.79</v>
      </c>
      <c r="O8" s="98" t="n">
        <v>0.96</v>
      </c>
      <c r="P8" s="98" t="n">
        <v>6.56</v>
      </c>
      <c r="Q8" s="98" t="n">
        <v>2.22</v>
      </c>
      <c r="R8" s="98" t="n">
        <v>217.01</v>
      </c>
      <c r="S8" s="98" t="n">
        <v>15.09</v>
      </c>
      <c r="T8" s="98" t="n">
        <v>31.9</v>
      </c>
      <c r="U8" s="98" t="n">
        <v>31.7</v>
      </c>
      <c r="V8" s="99" t="n">
        <v>67.26000000000001</v>
      </c>
    </row>
    <row r="9">
      <c r="A9" s="79" t="inlineStr">
        <is>
          <t>ADBE</t>
        </is>
      </c>
      <c r="B9" s="80" t="inlineStr">
        <is>
          <t>Adobe</t>
        </is>
      </c>
      <c r="C9" s="79" t="inlineStr">
        <is>
          <t>Technology</t>
        </is>
      </c>
      <c r="D9" s="79" t="inlineStr">
        <is>
          <t>United States</t>
        </is>
      </c>
      <c r="E9" s="79" t="inlineStr">
        <is>
          <t>Trading212</t>
        </is>
      </c>
      <c r="F9" s="81" t="n">
        <v>46170</v>
      </c>
      <c r="G9" s="144" t="n">
        <v>206.93</v>
      </c>
      <c r="H9" s="83" t="n">
        <v>5.95313343</v>
      </c>
      <c r="I9" s="144" t="n">
        <v>216.21</v>
      </c>
      <c r="J9" s="144" t="n">
        <v>1287.13</v>
      </c>
      <c r="K9" s="84" t="n">
        <v>4.48</v>
      </c>
      <c r="L9" s="84" t="n">
        <v>-3.95</v>
      </c>
      <c r="M9" s="84" t="n">
        <v>1.12</v>
      </c>
      <c r="N9" s="84" t="n">
        <v>1.35</v>
      </c>
      <c r="O9" s="84" t="n">
        <v>7.35</v>
      </c>
      <c r="P9" s="84" t="n">
        <v>-2.87</v>
      </c>
      <c r="Q9" s="84" t="n">
        <v>10.45</v>
      </c>
      <c r="R9" s="84" t="n">
        <v>25.14</v>
      </c>
      <c r="S9" s="84" t="n">
        <v>39.85</v>
      </c>
      <c r="T9" s="84" t="n">
        <v>9.18</v>
      </c>
      <c r="U9" s="84" t="n">
        <v>13.04</v>
      </c>
      <c r="V9" s="85" t="n">
        <v>82.39</v>
      </c>
    </row>
    <row r="10">
      <c r="A10" s="86" t="inlineStr">
        <is>
          <t>DECK</t>
        </is>
      </c>
      <c r="B10" s="87" t="inlineStr">
        <is>
          <t>Deckers Outdoor</t>
        </is>
      </c>
      <c r="C10" s="86" t="inlineStr">
        <is>
          <t>Consumer Cyclical</t>
        </is>
      </c>
      <c r="D10" s="86" t="inlineStr">
        <is>
          <t>United States</t>
        </is>
      </c>
      <c r="E10" s="86" t="inlineStr">
        <is>
          <t>Trading212</t>
        </is>
      </c>
      <c r="F10" s="88" t="n">
        <v>46260</v>
      </c>
      <c r="G10" s="145" t="n">
        <v>76.27</v>
      </c>
      <c r="H10" s="90" t="n">
        <v>23</v>
      </c>
      <c r="I10" s="145" t="n">
        <v>74.06999999999999</v>
      </c>
      <c r="J10" s="145" t="n">
        <v>1703.61</v>
      </c>
      <c r="K10" s="91" t="n">
        <v>-2.88</v>
      </c>
      <c r="L10" s="91" t="n">
        <v>1.99</v>
      </c>
      <c r="M10" s="91" t="n">
        <v>-2.88</v>
      </c>
      <c r="N10" s="91" t="n">
        <v>1.78</v>
      </c>
      <c r="O10" s="91" t="n">
        <v>6.04</v>
      </c>
      <c r="P10" s="91" t="n">
        <v>-8.92</v>
      </c>
      <c r="Q10" s="91" t="n">
        <v>9.720000000000001</v>
      </c>
      <c r="R10" s="91" t="n">
        <v>14.5</v>
      </c>
      <c r="S10" s="91" t="n">
        <v>39.01</v>
      </c>
      <c r="T10" s="91" t="n">
        <v>7.23</v>
      </c>
      <c r="U10" s="91" t="n">
        <v>11.16</v>
      </c>
      <c r="V10" s="92" t="n">
        <v>81.78</v>
      </c>
    </row>
    <row r="11">
      <c r="A11" s="79" t="inlineStr">
        <is>
          <t>IMMR</t>
        </is>
      </c>
      <c r="B11" s="80" t="inlineStr">
        <is>
          <t>Immersion</t>
        </is>
      </c>
      <c r="C11" s="79" t="inlineStr">
        <is>
          <t>Technology</t>
        </is>
      </c>
      <c r="D11" s="79" t="inlineStr">
        <is>
          <t>United States</t>
        </is>
      </c>
      <c r="E11" s="79" t="inlineStr">
        <is>
          <t>Trading212</t>
        </is>
      </c>
      <c r="F11" s="81" t="n">
        <v>45922</v>
      </c>
      <c r="G11" s="144" t="n">
        <v>6.26</v>
      </c>
      <c r="H11" s="83" t="n">
        <v>150</v>
      </c>
      <c r="I11" s="144" t="n">
        <v>6.6</v>
      </c>
      <c r="J11" s="144" t="n">
        <v>990</v>
      </c>
      <c r="K11" s="84" t="n">
        <v>5.43</v>
      </c>
      <c r="L11" s="84" t="n">
        <v>0.41</v>
      </c>
      <c r="M11" s="84" t="n">
        <v>0.45</v>
      </c>
      <c r="N11" s="84" t="n">
        <v>1.04</v>
      </c>
      <c r="O11" s="84" t="n">
        <v>23.6</v>
      </c>
      <c r="P11" s="84" t="n">
        <v>-18.17</v>
      </c>
      <c r="Q11" s="84" t="n">
        <v>17.38</v>
      </c>
      <c r="R11" s="84" t="n"/>
      <c r="S11" s="84" t="n">
        <v>2.71</v>
      </c>
      <c r="T11" s="84" t="n"/>
      <c r="U11" s="84" t="n"/>
      <c r="V11" s="85" t="n">
        <v>52.17</v>
      </c>
    </row>
    <row r="12">
      <c r="A12" s="93" t="inlineStr">
        <is>
          <t>RKLB</t>
        </is>
      </c>
      <c r="B12" s="94" t="inlineStr">
        <is>
          <t>Rocket Lab</t>
        </is>
      </c>
      <c r="C12" s="93" t="inlineStr">
        <is>
          <t>Industrials</t>
        </is>
      </c>
      <c r="D12" s="93" t="inlineStr">
        <is>
          <t>United States</t>
        </is>
      </c>
      <c r="E12" s="93" t="inlineStr">
        <is>
          <t>Trading212</t>
        </is>
      </c>
      <c r="F12" s="95" t="n">
        <v>46262</v>
      </c>
      <c r="G12" s="146" t="n">
        <v>56.32</v>
      </c>
      <c r="H12" s="97" t="n">
        <v>26</v>
      </c>
      <c r="I12" s="146" t="n">
        <v>60.85</v>
      </c>
      <c r="J12" s="146" t="n">
        <v>1582.1</v>
      </c>
      <c r="K12" s="98" t="n">
        <v>8.039999999999999</v>
      </c>
      <c r="L12" s="98" t="n">
        <v>8.359999999999999</v>
      </c>
      <c r="M12" s="98" t="n">
        <v>8.039999999999999</v>
      </c>
      <c r="N12" s="98" t="n">
        <v>1.65</v>
      </c>
      <c r="O12" s="98" t="n">
        <v>4.6</v>
      </c>
      <c r="P12" s="98" t="n">
        <v>3.44</v>
      </c>
      <c r="Q12" s="98" t="n">
        <v>-0.74</v>
      </c>
      <c r="R12" s="98" t="n"/>
      <c r="S12" s="98" t="n">
        <v>-12.2</v>
      </c>
      <c r="T12" s="98" t="n">
        <v>41.25</v>
      </c>
      <c r="U12" s="98" t="n">
        <v>75.55</v>
      </c>
      <c r="V12" s="99" t="n">
        <v>35.45</v>
      </c>
    </row>
    <row r="13">
      <c r="A13" s="100" t="inlineStr">
        <is>
          <t>CRDO</t>
        </is>
      </c>
      <c r="B13" s="101" t="inlineStr">
        <is>
          <t>Credo Technology</t>
        </is>
      </c>
      <c r="C13" s="100" t="inlineStr">
        <is>
          <t>Technology</t>
        </is>
      </c>
      <c r="D13" s="100" t="inlineStr">
        <is>
          <t>Cayman Islands</t>
        </is>
      </c>
      <c r="E13" s="100" t="inlineStr">
        <is>
          <t>Trading212</t>
        </is>
      </c>
      <c r="F13" s="102" t="n">
        <v>46267</v>
      </c>
      <c r="G13" s="147" t="n">
        <v>145.8</v>
      </c>
      <c r="H13" s="104" t="n">
        <v>0.6</v>
      </c>
      <c r="I13" s="147" t="n">
        <v>192.87</v>
      </c>
      <c r="J13" s="147" t="n">
        <v>115.72</v>
      </c>
      <c r="K13" s="105" t="n">
        <v>32.28</v>
      </c>
      <c r="L13" s="105" t="n">
        <v>32.89</v>
      </c>
      <c r="M13" s="105" t="n">
        <v>32.28</v>
      </c>
      <c r="N13" s="105" t="n">
        <v>0.12</v>
      </c>
      <c r="O13" s="105" t="n">
        <v>5.21</v>
      </c>
      <c r="P13" s="105" t="n">
        <v>27.07</v>
      </c>
      <c r="Q13" s="105" t="n">
        <v>1</v>
      </c>
      <c r="R13" s="105" t="n">
        <v>1302.37</v>
      </c>
      <c r="S13" s="105" t="n">
        <v>21.42</v>
      </c>
      <c r="T13" s="105" t="n">
        <v>54.8</v>
      </c>
      <c r="U13" s="105" t="n">
        <v>53.66</v>
      </c>
      <c r="V13" s="106" t="n">
        <v>68.52</v>
      </c>
    </row>
    <row r="14">
      <c r="A14" s="93" t="inlineStr">
        <is>
          <t>OPHC</t>
        </is>
      </c>
      <c r="B14" s="94" t="inlineStr">
        <is>
          <t>OptimumBank</t>
        </is>
      </c>
      <c r="C14" s="93" t="inlineStr">
        <is>
          <t>Financial Services</t>
        </is>
      </c>
      <c r="D14" s="93" t="inlineStr">
        <is>
          <t>United States</t>
        </is>
      </c>
      <c r="E14" s="93" t="inlineStr">
        <is>
          <t>Trading212</t>
        </is>
      </c>
      <c r="F14" s="95" t="n">
        <v>45922</v>
      </c>
      <c r="G14" s="146" t="n">
        <v>3.58</v>
      </c>
      <c r="H14" s="97" t="n">
        <v>145</v>
      </c>
      <c r="I14" s="146" t="n">
        <v>7.76</v>
      </c>
      <c r="J14" s="146" t="n">
        <v>1125.2</v>
      </c>
      <c r="K14" s="98" t="n">
        <v>116.76</v>
      </c>
      <c r="L14" s="98" t="n">
        <v>-4.08</v>
      </c>
      <c r="M14" s="98" t="n">
        <v>9.73</v>
      </c>
      <c r="N14" s="98" t="n">
        <v>1.18</v>
      </c>
      <c r="O14" s="98" t="n">
        <v>23.6</v>
      </c>
      <c r="P14" s="98" t="n">
        <v>93.16</v>
      </c>
      <c r="Q14" s="98" t="n">
        <v>15.42</v>
      </c>
      <c r="R14" s="98" t="n">
        <v>15.93</v>
      </c>
      <c r="S14" s="98" t="n"/>
      <c r="T14" s="98" t="n"/>
      <c r="U14" s="98" t="n">
        <v>10.2</v>
      </c>
      <c r="V14" s="99" t="n">
        <v>62.86</v>
      </c>
    </row>
    <row r="15">
      <c r="A15" s="79" t="inlineStr">
        <is>
          <t>EPAM</t>
        </is>
      </c>
      <c r="B15" s="80" t="inlineStr">
        <is>
          <t>EPAM Systems</t>
        </is>
      </c>
      <c r="C15" s="79" t="inlineStr">
        <is>
          <t>Technology</t>
        </is>
      </c>
      <c r="D15" s="79" t="inlineStr">
        <is>
          <t>United States</t>
        </is>
      </c>
      <c r="E15" s="79" t="inlineStr">
        <is>
          <t>Trading212</t>
        </is>
      </c>
      <c r="F15" s="81" t="n">
        <v>46140</v>
      </c>
      <c r="G15" s="144" t="n">
        <v>91.79000000000001</v>
      </c>
      <c r="H15" s="83" t="n">
        <v>22.46</v>
      </c>
      <c r="I15" s="144" t="n">
        <v>101.07</v>
      </c>
      <c r="J15" s="144" t="n">
        <v>2270.03</v>
      </c>
      <c r="K15" s="84" t="n">
        <v>10.11</v>
      </c>
      <c r="L15" s="84" t="n">
        <v>-3.96</v>
      </c>
      <c r="M15" s="84" t="n">
        <v>2.02</v>
      </c>
      <c r="N15" s="84" t="n">
        <v>2.37</v>
      </c>
      <c r="O15" s="84" t="n">
        <v>15.05</v>
      </c>
      <c r="P15" s="84" t="n">
        <v>-4.94</v>
      </c>
      <c r="Q15" s="84" t="n">
        <v>10.49</v>
      </c>
      <c r="R15" s="84" t="n">
        <v>16.26</v>
      </c>
      <c r="S15" s="84" t="n">
        <v>10.49</v>
      </c>
      <c r="T15" s="84" t="n">
        <v>3.57</v>
      </c>
      <c r="U15" s="84" t="n">
        <v>6.91</v>
      </c>
      <c r="V15" s="85" t="n">
        <v>57.66</v>
      </c>
    </row>
    <row r="16">
      <c r="A16" s="86" t="inlineStr">
        <is>
          <t>NNE</t>
        </is>
      </c>
      <c r="B16" s="87" t="inlineStr">
        <is>
          <t>NANO Nuclear Energy</t>
        </is>
      </c>
      <c r="C16" s="86" t="inlineStr">
        <is>
          <t>Industrials</t>
        </is>
      </c>
      <c r="D16" s="86" t="inlineStr">
        <is>
          <t>United States</t>
        </is>
      </c>
      <c r="E16" s="86" t="inlineStr">
        <is>
          <t>Trading212</t>
        </is>
      </c>
      <c r="F16" s="88" t="n">
        <v>45621</v>
      </c>
      <c r="G16" s="145" t="n">
        <v>23.74</v>
      </c>
      <c r="H16" s="90" t="n">
        <v>204.17081927</v>
      </c>
      <c r="I16" s="145" t="n">
        <v>13.69</v>
      </c>
      <c r="J16" s="145" t="n">
        <v>2795.1</v>
      </c>
      <c r="K16" s="91" t="n">
        <v>-42.33</v>
      </c>
      <c r="L16" s="91" t="n">
        <v>-6.52</v>
      </c>
      <c r="M16" s="91" t="n">
        <v>-1.92</v>
      </c>
      <c r="N16" s="91" t="n">
        <v>2.92</v>
      </c>
      <c r="O16" s="91" t="n">
        <v>23.99</v>
      </c>
      <c r="P16" s="91" t="n">
        <v>-66.31999999999999</v>
      </c>
      <c r="Q16" s="91" t="n">
        <v>-4.51</v>
      </c>
      <c r="R16" s="91" t="n"/>
      <c r="S16" s="91" t="n">
        <v>-20.22</v>
      </c>
      <c r="T16" s="91" t="n">
        <v>459.93</v>
      </c>
      <c r="U16" s="91" t="n">
        <v>-55.06</v>
      </c>
      <c r="V16" s="92" t="n">
        <v>15</v>
      </c>
    </row>
    <row r="17">
      <c r="A17" s="79" t="inlineStr">
        <is>
          <t>APP</t>
        </is>
      </c>
      <c r="B17" s="80" t="inlineStr">
        <is>
          <t>AppLovin</t>
        </is>
      </c>
      <c r="C17" s="79" t="inlineStr">
        <is>
          <t>Communication Services</t>
        </is>
      </c>
      <c r="D17" s="79" t="inlineStr">
        <is>
          <t>United States</t>
        </is>
      </c>
      <c r="E17" s="79" t="inlineStr">
        <is>
          <t>Trading212</t>
        </is>
      </c>
      <c r="F17" s="81" t="n">
        <v>46300</v>
      </c>
      <c r="G17" s="144" t="n">
        <v>241.84</v>
      </c>
      <c r="H17" s="83" t="n">
        <v>6</v>
      </c>
      <c r="I17" s="144" t="n">
        <v>246.88</v>
      </c>
      <c r="J17" s="144" t="n">
        <v>1481.28</v>
      </c>
      <c r="K17" s="84" t="n">
        <v>2.08</v>
      </c>
      <c r="L17" s="84" t="n">
        <v>-14.48</v>
      </c>
      <c r="M17" s="84" t="n">
        <v>2.08</v>
      </c>
      <c r="N17" s="84" t="n">
        <v>1.55</v>
      </c>
      <c r="O17" s="84" t="n">
        <v>0.96</v>
      </c>
      <c r="P17" s="84" t="n">
        <v>1.12</v>
      </c>
      <c r="Q17" s="84" t="n">
        <v>4.25</v>
      </c>
      <c r="R17" s="84" t="n">
        <v>90.15000000000001</v>
      </c>
      <c r="S17" s="84" t="n">
        <v>63.85</v>
      </c>
      <c r="T17" s="84" t="n">
        <v>26.4</v>
      </c>
      <c r="U17" s="84" t="n">
        <v>27.53</v>
      </c>
      <c r="V17" s="85" t="n">
        <v>79.45</v>
      </c>
    </row>
    <row r="18">
      <c r="A18" s="100" t="inlineStr">
        <is>
          <t>PTC</t>
        </is>
      </c>
      <c r="B18" s="101" t="inlineStr">
        <is>
          <t>PTC</t>
        </is>
      </c>
      <c r="C18" s="100" t="inlineStr">
        <is>
          <t>Technology</t>
        </is>
      </c>
      <c r="D18" s="100" t="inlineStr">
        <is>
          <t>United States</t>
        </is>
      </c>
      <c r="E18" s="100" t="inlineStr">
        <is>
          <t>Trading212</t>
        </is>
      </c>
      <c r="F18" s="102" t="n">
        <v>46273</v>
      </c>
      <c r="G18" s="147" t="n">
        <v>120.3</v>
      </c>
      <c r="H18" s="104" t="n">
        <v>0.1</v>
      </c>
      <c r="I18" s="147" t="n">
        <v>173.6</v>
      </c>
      <c r="J18" s="147" t="n">
        <v>17.36</v>
      </c>
      <c r="K18" s="105" t="n">
        <v>44.31</v>
      </c>
      <c r="L18" s="105" t="n">
        <v>48.68</v>
      </c>
      <c r="M18" s="105" t="n">
        <v>44.31</v>
      </c>
      <c r="N18" s="105" t="n">
        <v>0.02</v>
      </c>
      <c r="O18" s="105" t="n">
        <v>5.26</v>
      </c>
      <c r="P18" s="105" t="n">
        <v>39.05</v>
      </c>
      <c r="Q18" s="105" t="n">
        <v>4.06</v>
      </c>
      <c r="R18" s="105" t="n">
        <v>16.46</v>
      </c>
      <c r="S18" s="105" t="n">
        <v>15.85</v>
      </c>
      <c r="T18" s="105" t="n">
        <v>6.37</v>
      </c>
      <c r="U18" s="105" t="n">
        <v>8.76</v>
      </c>
      <c r="V18" s="106" t="n">
        <v>52.61</v>
      </c>
    </row>
    <row r="19">
      <c r="A19" s="86" t="inlineStr">
        <is>
          <t>CCS</t>
        </is>
      </c>
      <c r="B19" s="87" t="inlineStr">
        <is>
          <t>Century Communities</t>
        </is>
      </c>
      <c r="C19" s="86" t="inlineStr">
        <is>
          <t>Real Estate</t>
        </is>
      </c>
      <c r="D19" s="86" t="inlineStr">
        <is>
          <t>United States</t>
        </is>
      </c>
      <c r="E19" s="86" t="inlineStr">
        <is>
          <t>Trading212</t>
        </is>
      </c>
      <c r="F19" s="88" t="n">
        <v>45775</v>
      </c>
      <c r="G19" s="145" t="n">
        <v>49.93</v>
      </c>
      <c r="H19" s="90" t="n">
        <v>18</v>
      </c>
      <c r="I19" s="145" t="n">
        <v>49.27</v>
      </c>
      <c r="J19" s="145" t="n">
        <v>886.86</v>
      </c>
      <c r="K19" s="91" t="n">
        <v>-1.32</v>
      </c>
      <c r="L19" s="91" t="n">
        <v>-8.039999999999999</v>
      </c>
      <c r="M19" s="91" t="n">
        <v>-0.08</v>
      </c>
      <c r="N19" s="91" t="n">
        <v>0.93</v>
      </c>
      <c r="O19" s="91" t="n">
        <v>45.75</v>
      </c>
      <c r="P19" s="91" t="n">
        <v>-47.07</v>
      </c>
      <c r="Q19" s="91" t="n">
        <v>7.85</v>
      </c>
      <c r="R19" s="91" t="n"/>
      <c r="S19" s="91" t="n">
        <v>3.97</v>
      </c>
      <c r="T19" s="91" t="n">
        <v>3.43</v>
      </c>
      <c r="U19" s="91" t="n">
        <v>-5.56</v>
      </c>
      <c r="V19" s="92" t="n">
        <v>68.79000000000001</v>
      </c>
    </row>
    <row r="20">
      <c r="A20" s="79" t="inlineStr">
        <is>
          <t>CI</t>
        </is>
      </c>
      <c r="B20" s="80" t="inlineStr">
        <is>
          <t>Cigna Group</t>
        </is>
      </c>
      <c r="C20" s="79" t="inlineStr">
        <is>
          <t>Healthcare</t>
        </is>
      </c>
      <c r="D20" s="79" t="inlineStr">
        <is>
          <t>United States</t>
        </is>
      </c>
      <c r="E20" s="79" t="inlineStr">
        <is>
          <t>Trading212</t>
        </is>
      </c>
      <c r="F20" s="81" t="n">
        <v>46141</v>
      </c>
      <c r="G20" s="144" t="n">
        <v>237.04</v>
      </c>
      <c r="H20" s="83" t="n">
        <v>11.7</v>
      </c>
      <c r="I20" s="144" t="n">
        <v>252.58</v>
      </c>
      <c r="J20" s="144" t="n">
        <v>2955.19</v>
      </c>
      <c r="K20" s="84" t="n">
        <v>6.56</v>
      </c>
      <c r="L20" s="84" t="n">
        <v>0.59</v>
      </c>
      <c r="M20" s="84" t="n">
        <v>1.31</v>
      </c>
      <c r="N20" s="84" t="n">
        <v>3.09</v>
      </c>
      <c r="O20" s="84" t="n">
        <v>14.81</v>
      </c>
      <c r="P20" s="84" t="n">
        <v>-8.25</v>
      </c>
      <c r="Q20" s="84" t="n">
        <v>11.24</v>
      </c>
      <c r="R20" s="84" t="n">
        <v>-6.34</v>
      </c>
      <c r="S20" s="84" t="n">
        <v>9</v>
      </c>
      <c r="T20" s="84" t="n">
        <v>4.07</v>
      </c>
      <c r="U20" s="84" t="n">
        <v>9.75</v>
      </c>
      <c r="V20" s="85" t="n">
        <v>36.75</v>
      </c>
    </row>
    <row r="21">
      <c r="A21" s="79" t="inlineStr">
        <is>
          <t>CVX</t>
        </is>
      </c>
      <c r="B21" s="80" t="inlineStr">
        <is>
          <t>Chevron</t>
        </is>
      </c>
      <c r="C21" s="79" t="inlineStr">
        <is>
          <t>Energy</t>
        </is>
      </c>
      <c r="D21" s="79" t="inlineStr">
        <is>
          <t>United States</t>
        </is>
      </c>
      <c r="E21" s="79" t="inlineStr">
        <is>
          <t>Trading212</t>
        </is>
      </c>
      <c r="F21" s="81" t="n">
        <v>45775</v>
      </c>
      <c r="G21" s="144" t="n">
        <v>134.3</v>
      </c>
      <c r="H21" s="83" t="n">
        <v>8.6406803</v>
      </c>
      <c r="I21" s="144" t="n">
        <v>189.09</v>
      </c>
      <c r="J21" s="144" t="n">
        <v>1633.87</v>
      </c>
      <c r="K21" s="84" t="n">
        <v>40.8</v>
      </c>
      <c r="L21" s="84" t="n">
        <v>-0.97</v>
      </c>
      <c r="M21" s="84" t="n">
        <v>2.4</v>
      </c>
      <c r="N21" s="84" t="n">
        <v>1.71</v>
      </c>
      <c r="O21" s="84" t="n">
        <v>45.75</v>
      </c>
      <c r="P21" s="84" t="n">
        <v>-4.95</v>
      </c>
      <c r="Q21" s="84" t="n">
        <v>3.99</v>
      </c>
      <c r="R21" s="84" t="n">
        <v>10.29</v>
      </c>
      <c r="S21" s="84" t="n">
        <v>4.67</v>
      </c>
      <c r="T21" s="84" t="n">
        <v>-4.74</v>
      </c>
      <c r="U21" s="84" t="n">
        <v>-13.22</v>
      </c>
      <c r="V21" s="85" t="n">
        <v>29.12</v>
      </c>
    </row>
    <row r="22">
      <c r="A22" s="79" t="inlineStr">
        <is>
          <t>BAC</t>
        </is>
      </c>
      <c r="B22" s="80" t="inlineStr">
        <is>
          <t>Bank of America</t>
        </is>
      </c>
      <c r="C22" s="79" t="inlineStr">
        <is>
          <t>Financial Services</t>
        </is>
      </c>
      <c r="D22" s="79" t="inlineStr">
        <is>
          <t>United States</t>
        </is>
      </c>
      <c r="E22" s="79" t="inlineStr">
        <is>
          <t>Trading212</t>
        </is>
      </c>
      <c r="F22" s="81" t="n">
        <v>45775</v>
      </c>
      <c r="G22" s="144" t="n">
        <v>37.05</v>
      </c>
      <c r="H22" s="83" t="n">
        <v>17.45</v>
      </c>
      <c r="I22" s="144" t="n">
        <v>48.58</v>
      </c>
      <c r="J22" s="144" t="n">
        <v>847.72</v>
      </c>
      <c r="K22" s="84" t="n">
        <v>31.12</v>
      </c>
      <c r="L22" s="84" t="n">
        <v>-13.35</v>
      </c>
      <c r="M22" s="84" t="n">
        <v>1.83</v>
      </c>
      <c r="N22" s="84" t="n">
        <v>0.89</v>
      </c>
      <c r="O22" s="84" t="n">
        <v>45.75</v>
      </c>
      <c r="P22" s="84" t="n">
        <v>-14.63</v>
      </c>
      <c r="Q22" s="84" t="n">
        <v>3.32</v>
      </c>
      <c r="R22" s="84" t="n"/>
      <c r="S22" s="84" t="n"/>
      <c r="T22" s="84" t="n">
        <v>5.4</v>
      </c>
      <c r="U22" s="84" t="n">
        <v>13.95</v>
      </c>
      <c r="V22" s="85" t="n">
        <v>57.05</v>
      </c>
    </row>
    <row r="23">
      <c r="A23" s="86" t="inlineStr">
        <is>
          <t>PODD</t>
        </is>
      </c>
      <c r="B23" s="87" t="inlineStr">
        <is>
          <t>Insulet</t>
        </is>
      </c>
      <c r="C23" s="86" t="inlineStr">
        <is>
          <t>Healthcare</t>
        </is>
      </c>
      <c r="D23" s="86" t="inlineStr">
        <is>
          <t>United States</t>
        </is>
      </c>
      <c r="E23" s="86" t="inlineStr">
        <is>
          <t>Trading212</t>
        </is>
      </c>
      <c r="F23" s="88" t="n">
        <v>46254</v>
      </c>
      <c r="G23" s="145" t="n">
        <v>125.22</v>
      </c>
      <c r="H23" s="90" t="n">
        <v>12.9</v>
      </c>
      <c r="I23" s="145" t="n">
        <v>120.74</v>
      </c>
      <c r="J23" s="145" t="n">
        <v>1557.55</v>
      </c>
      <c r="K23" s="91" t="n">
        <v>-3.58</v>
      </c>
      <c r="L23" s="91" t="n">
        <v>2.52</v>
      </c>
      <c r="M23" s="91" t="n">
        <v>-3.58</v>
      </c>
      <c r="N23" s="91" t="n">
        <v>1.63</v>
      </c>
      <c r="O23" s="91" t="n">
        <v>5.89</v>
      </c>
      <c r="P23" s="91" t="n">
        <v>-9.470000000000001</v>
      </c>
      <c r="Q23" s="91" t="n">
        <v>3.73</v>
      </c>
      <c r="R23" s="91" t="n">
        <v>18.13</v>
      </c>
      <c r="S23" s="91" t="n">
        <v>13.99</v>
      </c>
      <c r="T23" s="91" t="n">
        <v>13.68</v>
      </c>
      <c r="U23" s="91" t="n">
        <v>18.8</v>
      </c>
      <c r="V23" s="92" t="n">
        <v>56.13</v>
      </c>
    </row>
    <row r="24">
      <c r="A24" s="107" t="inlineStr">
        <is>
          <t>LVS</t>
        </is>
      </c>
      <c r="B24" s="108" t="inlineStr">
        <is>
          <t>Las Vegas Sands</t>
        </is>
      </c>
      <c r="C24" s="107" t="inlineStr">
        <is>
          <t>Consumer Cyclical</t>
        </is>
      </c>
      <c r="D24" s="107" t="inlineStr">
        <is>
          <t>United States</t>
        </is>
      </c>
      <c r="E24" s="107" t="inlineStr">
        <is>
          <t>Trading212</t>
        </is>
      </c>
      <c r="F24" s="109" t="n">
        <v>46261</v>
      </c>
      <c r="G24" s="148" t="n">
        <v>38.87</v>
      </c>
      <c r="H24" s="111" t="n">
        <v>45</v>
      </c>
      <c r="I24" s="148" t="n">
        <v>32.36</v>
      </c>
      <c r="J24" s="148" t="n">
        <v>1456.2</v>
      </c>
      <c r="K24" s="112" t="n">
        <v>-16.75</v>
      </c>
      <c r="L24" s="112" t="n">
        <v>-15.55</v>
      </c>
      <c r="M24" s="112" t="n">
        <v>-16.75</v>
      </c>
      <c r="N24" s="112" t="n">
        <v>1.52</v>
      </c>
      <c r="O24" s="112" t="n">
        <v>5.15</v>
      </c>
      <c r="P24" s="112" t="n">
        <v>-21.9</v>
      </c>
      <c r="Q24" s="112" t="n">
        <v>7.6</v>
      </c>
      <c r="R24" s="112" t="n">
        <v>9.609999999999999</v>
      </c>
      <c r="S24" s="112" t="n">
        <v>14.99</v>
      </c>
      <c r="T24" s="112" t="n">
        <v>5.47</v>
      </c>
      <c r="U24" s="112" t="n">
        <v>13.68</v>
      </c>
      <c r="V24" s="113" t="n">
        <v>56.16</v>
      </c>
    </row>
    <row r="25">
      <c r="A25" s="79" t="inlineStr">
        <is>
          <t>CAAP</t>
        </is>
      </c>
      <c r="B25" s="80" t="inlineStr">
        <is>
          <t>Corp America Airports</t>
        </is>
      </c>
      <c r="C25" s="79" t="inlineStr">
        <is>
          <t>Industrials</t>
        </is>
      </c>
      <c r="D25" s="79" t="inlineStr">
        <is>
          <t>Luxembourg</t>
        </is>
      </c>
      <c r="E25" s="79" t="inlineStr">
        <is>
          <t>Trading212</t>
        </is>
      </c>
      <c r="F25" s="81" t="n">
        <v>45621</v>
      </c>
      <c r="G25" s="144" t="n">
        <v>17.92</v>
      </c>
      <c r="H25" s="83" t="n">
        <v>28.702979</v>
      </c>
      <c r="I25" s="144" t="n">
        <v>21.9</v>
      </c>
      <c r="J25" s="144" t="n">
        <v>628.6</v>
      </c>
      <c r="K25" s="84" t="n">
        <v>22.21</v>
      </c>
      <c r="L25" s="84" t="n">
        <v>-0.2</v>
      </c>
      <c r="M25" s="84" t="n">
        <v>1.01</v>
      </c>
      <c r="N25" s="84" t="n">
        <v>0.66</v>
      </c>
      <c r="O25" s="84" t="n">
        <v>23.99</v>
      </c>
      <c r="P25" s="84" t="n">
        <v>-1.78</v>
      </c>
      <c r="Q25" s="84" t="n">
        <v>11.14</v>
      </c>
      <c r="R25" s="84" t="n">
        <v>14.01</v>
      </c>
      <c r="S25" s="84" t="n">
        <v>14.3</v>
      </c>
      <c r="T25" s="84" t="n">
        <v>9.220000000000001</v>
      </c>
      <c r="U25" s="84" t="n">
        <v>18.21</v>
      </c>
      <c r="V25" s="85" t="n">
        <v>67.04000000000001</v>
      </c>
    </row>
    <row r="26">
      <c r="A26" s="107" t="inlineStr">
        <is>
          <t>ALB</t>
        </is>
      </c>
      <c r="B26" s="108" t="inlineStr">
        <is>
          <t>Albemarle</t>
        </is>
      </c>
      <c r="C26" s="107" t="inlineStr">
        <is>
          <t>Basic Materials</t>
        </is>
      </c>
      <c r="D26" s="107" t="inlineStr">
        <is>
          <t>United States</t>
        </is>
      </c>
      <c r="E26" s="107" t="inlineStr">
        <is>
          <t>Trading212</t>
        </is>
      </c>
      <c r="F26" s="109" t="n">
        <v>46273</v>
      </c>
      <c r="G26" s="148" t="n">
        <v>103.64</v>
      </c>
      <c r="H26" s="111" t="n">
        <v>15.1</v>
      </c>
      <c r="I26" s="148" t="n">
        <v>90.45999999999999</v>
      </c>
      <c r="J26" s="148" t="n">
        <v>1365.95</v>
      </c>
      <c r="K26" s="112" t="n">
        <v>-12.72</v>
      </c>
      <c r="L26" s="112" t="n">
        <v>-13.83</v>
      </c>
      <c r="M26" s="112" t="n">
        <v>-12.72</v>
      </c>
      <c r="N26" s="112" t="n">
        <v>1.43</v>
      </c>
      <c r="O26" s="112" t="n">
        <v>5.26</v>
      </c>
      <c r="P26" s="112" t="n">
        <v>-17.98</v>
      </c>
      <c r="Q26" s="112" t="n">
        <v>5.79</v>
      </c>
      <c r="R26" s="112" t="n"/>
      <c r="S26" s="112" t="n">
        <v>0.64</v>
      </c>
      <c r="T26" s="112" t="n">
        <v>1.92</v>
      </c>
      <c r="U26" s="112" t="n">
        <v>-3.03</v>
      </c>
      <c r="V26" s="113" t="n">
        <v>34.18</v>
      </c>
    </row>
    <row r="27">
      <c r="A27" s="79" t="inlineStr">
        <is>
          <t>SXRU.DE</t>
        </is>
      </c>
      <c r="B27" s="80" t="inlineStr">
        <is>
          <t>iShares Dow Jones Industrial Average (Acc)</t>
        </is>
      </c>
      <c r="C27" s="79" t="n"/>
      <c r="D27" s="79" t="n"/>
      <c r="E27" s="79" t="inlineStr">
        <is>
          <t>Trading212</t>
        </is>
      </c>
      <c r="F27" s="81" t="n">
        <v>45623</v>
      </c>
      <c r="G27" s="144" t="n">
        <v>490.01</v>
      </c>
      <c r="H27" s="83" t="n">
        <v>1.234883</v>
      </c>
      <c r="I27" s="144" t="n">
        <v>560.3</v>
      </c>
      <c r="J27" s="144" t="n">
        <v>691.9</v>
      </c>
      <c r="K27" s="84" t="n">
        <v>14.34</v>
      </c>
      <c r="L27" s="84" t="n">
        <v>1.52</v>
      </c>
      <c r="M27" s="84" t="n">
        <v>0.65</v>
      </c>
      <c r="N27" s="84" t="n">
        <v>0.72</v>
      </c>
      <c r="O27" s="84" t="n">
        <v>23.93</v>
      </c>
      <c r="P27" s="84" t="n">
        <v>-9.59</v>
      </c>
      <c r="Q27" s="84" t="n"/>
      <c r="R27" s="84" t="n"/>
      <c r="S27" s="84" t="n"/>
      <c r="T27" s="84" t="n"/>
      <c r="U27" s="84" t="n"/>
      <c r="V27" s="85" t="n"/>
    </row>
    <row r="28">
      <c r="A28" s="86" t="inlineStr">
        <is>
          <t>RHM.DE</t>
        </is>
      </c>
      <c r="B28" s="87" t="inlineStr">
        <is>
          <t>Rheinmetall</t>
        </is>
      </c>
      <c r="C28" s="86" t="inlineStr">
        <is>
          <t>Industrials</t>
        </is>
      </c>
      <c r="D28" s="86" t="inlineStr">
        <is>
          <t>Germany</t>
        </is>
      </c>
      <c r="E28" s="86" t="inlineStr">
        <is>
          <t>Capital</t>
        </is>
      </c>
      <c r="F28" s="88" t="n">
        <v>46033</v>
      </c>
      <c r="G28" s="145" t="n">
        <v>977.3</v>
      </c>
      <c r="H28" s="90" t="n">
        <v>3.09</v>
      </c>
      <c r="I28" s="145" t="n">
        <v>936.55</v>
      </c>
      <c r="J28" s="145" t="n">
        <v>2893.94</v>
      </c>
      <c r="K28" s="91" t="n">
        <v>-4.17</v>
      </c>
      <c r="L28" s="91" t="n">
        <v>-5.2</v>
      </c>
      <c r="M28" s="91" t="n">
        <v>-0.46</v>
      </c>
      <c r="N28" s="91" t="n">
        <v>3.03</v>
      </c>
      <c r="O28" s="91" t="n">
        <v>14.15</v>
      </c>
      <c r="P28" s="91" t="n">
        <v>-18.32</v>
      </c>
      <c r="Q28" s="91" t="n">
        <v>3.23</v>
      </c>
      <c r="R28" s="91" t="n">
        <v>43.22</v>
      </c>
      <c r="S28" s="91" t="n">
        <v>21.27</v>
      </c>
      <c r="T28" s="91" t="n">
        <v>32.82</v>
      </c>
      <c r="U28" s="91" t="n">
        <v>42.29</v>
      </c>
      <c r="V28" s="92" t="n">
        <v>78.58</v>
      </c>
    </row>
    <row r="29">
      <c r="A29" s="79" t="inlineStr">
        <is>
          <t>ROP</t>
        </is>
      </c>
      <c r="B29" s="80" t="inlineStr">
        <is>
          <t>Roper Technologies Inc</t>
        </is>
      </c>
      <c r="C29" s="79" t="inlineStr">
        <is>
          <t>Technology</t>
        </is>
      </c>
      <c r="D29" s="79" t="inlineStr">
        <is>
          <t>United States</t>
        </is>
      </c>
      <c r="E29" s="79" t="inlineStr">
        <is>
          <t>Capital</t>
        </is>
      </c>
      <c r="F29" s="81" t="n">
        <v>46293</v>
      </c>
      <c r="G29" s="144" t="n">
        <v>312.8</v>
      </c>
      <c r="H29" s="83" t="n">
        <v>1.6824</v>
      </c>
      <c r="I29" s="144" t="n">
        <v>324.21</v>
      </c>
      <c r="J29" s="144" t="n">
        <v>545.45</v>
      </c>
      <c r="K29" s="84" t="n">
        <v>3.65</v>
      </c>
      <c r="L29" s="84" t="n">
        <v>-6.29</v>
      </c>
      <c r="M29" s="84" t="n">
        <v>3.65</v>
      </c>
      <c r="N29" s="84" t="n">
        <v>0.57</v>
      </c>
      <c r="O29" s="84" t="n">
        <v>3.12</v>
      </c>
      <c r="P29" s="84" t="n">
        <v>0.53</v>
      </c>
      <c r="Q29" s="84" t="n">
        <v>6.76</v>
      </c>
      <c r="R29" s="84" t="n">
        <v>6.72</v>
      </c>
      <c r="S29" s="84" t="n">
        <v>6.08</v>
      </c>
      <c r="T29" s="84" t="n">
        <v>6.23</v>
      </c>
      <c r="U29" s="84" t="n">
        <v>9.73</v>
      </c>
      <c r="V29" s="85" t="n">
        <v>38.99</v>
      </c>
    </row>
    <row r="30">
      <c r="A30" s="79" t="inlineStr">
        <is>
          <t>TSLA</t>
        </is>
      </c>
      <c r="B30" s="80" t="inlineStr">
        <is>
          <t>Tesla Inc</t>
        </is>
      </c>
      <c r="C30" s="79" t="inlineStr">
        <is>
          <t>Consumer Cyclical</t>
        </is>
      </c>
      <c r="D30" s="79" t="inlineStr">
        <is>
          <t>United States</t>
        </is>
      </c>
      <c r="E30" s="79" t="inlineStr">
        <is>
          <t>Capital</t>
        </is>
      </c>
      <c r="F30" s="81" t="n">
        <v>45721</v>
      </c>
      <c r="G30" s="144" t="n">
        <v>259.8</v>
      </c>
      <c r="H30" s="83" t="n">
        <v>0.4</v>
      </c>
      <c r="I30" s="144" t="n">
        <v>341.03</v>
      </c>
      <c r="J30" s="144" t="n">
        <v>136.41</v>
      </c>
      <c r="K30" s="84" t="n">
        <v>31.27</v>
      </c>
      <c r="L30" s="84" t="n">
        <v>4.72</v>
      </c>
      <c r="M30" s="84" t="n">
        <v>1.65</v>
      </c>
      <c r="N30" s="84" t="n">
        <v>0.14</v>
      </c>
      <c r="O30" s="84" t="n">
        <v>29.84</v>
      </c>
      <c r="P30" s="84" t="n">
        <v>1.43</v>
      </c>
      <c r="Q30" s="84" t="n">
        <v>0.41</v>
      </c>
      <c r="R30" s="84" t="n">
        <v>73.69</v>
      </c>
      <c r="S30" s="84" t="n">
        <v>3.92</v>
      </c>
      <c r="T30" s="84" t="n">
        <v>13.77</v>
      </c>
      <c r="U30" s="84" t="n">
        <v>24.89</v>
      </c>
      <c r="V30" s="85" t="n">
        <v>53.64</v>
      </c>
    </row>
    <row r="31">
      <c r="A31" s="79" t="inlineStr">
        <is>
          <t>GLD</t>
        </is>
      </c>
      <c r="B31" s="80" t="inlineStr">
        <is>
          <t>SPDR Gold Shares</t>
        </is>
      </c>
      <c r="C31" s="79" t="n"/>
      <c r="D31" s="79" t="n"/>
      <c r="E31" s="79" t="inlineStr">
        <is>
          <t>Capital</t>
        </is>
      </c>
      <c r="F31" s="81" t="n">
        <v>45622</v>
      </c>
      <c r="G31" s="144" t="n">
        <v>232.04</v>
      </c>
      <c r="H31" s="83" t="n">
        <v>3.1</v>
      </c>
      <c r="I31" s="144" t="n">
        <v>342.83</v>
      </c>
      <c r="J31" s="144" t="n">
        <v>1062.77</v>
      </c>
      <c r="K31" s="84" t="n">
        <v>47.75</v>
      </c>
      <c r="L31" s="84" t="n">
        <v>-3.56</v>
      </c>
      <c r="M31" s="84" t="n">
        <v>2.17</v>
      </c>
      <c r="N31" s="84" t="n">
        <v>1.11</v>
      </c>
      <c r="O31" s="84" t="n">
        <v>23.18</v>
      </c>
      <c r="P31" s="84" t="n">
        <v>24.57</v>
      </c>
      <c r="Q31" s="84" t="n"/>
      <c r="R31" s="84" t="n"/>
      <c r="S31" s="84" t="n"/>
      <c r="T31" s="84" t="n"/>
      <c r="U31" s="84" t="n"/>
      <c r="V31" s="85" t="n"/>
    </row>
    <row r="32">
      <c r="A32" s="79" t="inlineStr">
        <is>
          <t>ITX.MC</t>
        </is>
      </c>
      <c r="B32" s="80" t="inlineStr">
        <is>
          <t>Inditex</t>
        </is>
      </c>
      <c r="C32" s="79" t="inlineStr">
        <is>
          <t>Consumer Cyclical</t>
        </is>
      </c>
      <c r="D32" s="79" t="inlineStr">
        <is>
          <t>Spain</t>
        </is>
      </c>
      <c r="E32" s="79" t="inlineStr">
        <is>
          <t>Capital</t>
        </is>
      </c>
      <c r="F32" s="81" t="n">
        <v>45757</v>
      </c>
      <c r="G32" s="144" t="n">
        <v>46.77</v>
      </c>
      <c r="H32" s="83" t="n">
        <v>25.9</v>
      </c>
      <c r="I32" s="144" t="n">
        <v>53.78</v>
      </c>
      <c r="J32" s="144" t="n">
        <v>1392.9</v>
      </c>
      <c r="K32" s="84" t="n">
        <v>14.99</v>
      </c>
      <c r="L32" s="84" t="n">
        <v>-0.3</v>
      </c>
      <c r="M32" s="84" t="n">
        <v>0.83</v>
      </c>
      <c r="N32" s="84" t="n">
        <v>1.46</v>
      </c>
      <c r="O32" s="84" t="n">
        <v>47.16</v>
      </c>
      <c r="P32" s="84" t="n">
        <v>-32.17</v>
      </c>
      <c r="Q32" s="84" t="n">
        <v>3.89</v>
      </c>
      <c r="R32" s="84" t="n">
        <v>-1.45</v>
      </c>
      <c r="S32" s="84" t="n">
        <v>30.66</v>
      </c>
      <c r="T32" s="84" t="n">
        <v>7.51</v>
      </c>
      <c r="U32" s="84" t="n">
        <v>9.199999999999999</v>
      </c>
      <c r="V32" s="85" t="n">
        <v>53.86</v>
      </c>
    </row>
    <row r="33">
      <c r="A33" s="79" t="inlineStr">
        <is>
          <t>BEI.DE</t>
        </is>
      </c>
      <c r="B33" s="80" t="inlineStr">
        <is>
          <t>Beiersdorf</t>
        </is>
      </c>
      <c r="C33" s="79" t="inlineStr">
        <is>
          <t>Consumer Defensive</t>
        </is>
      </c>
      <c r="D33" s="79" t="inlineStr">
        <is>
          <t>Germany</t>
        </is>
      </c>
      <c r="E33" s="79" t="inlineStr">
        <is>
          <t>Capital</t>
        </is>
      </c>
      <c r="F33" s="81" t="n">
        <v>46139</v>
      </c>
      <c r="G33" s="144" t="n">
        <v>72.2</v>
      </c>
      <c r="H33" s="83" t="n">
        <v>24</v>
      </c>
      <c r="I33" s="144" t="n">
        <v>78</v>
      </c>
      <c r="J33" s="144" t="n">
        <v>1872</v>
      </c>
      <c r="K33" s="84" t="n">
        <v>8.029999999999999</v>
      </c>
      <c r="L33" s="84" t="n">
        <v>6.57</v>
      </c>
      <c r="M33" s="84" t="n">
        <v>1.61</v>
      </c>
      <c r="N33" s="84" t="n">
        <v>1.96</v>
      </c>
      <c r="O33" s="84" t="n">
        <v>14.35</v>
      </c>
      <c r="P33" s="84" t="n">
        <v>-6.32</v>
      </c>
      <c r="Q33" s="84" t="n">
        <v>1.89</v>
      </c>
      <c r="R33" s="84" t="n">
        <v>-59.45</v>
      </c>
      <c r="S33" s="84" t="n">
        <v>11.21</v>
      </c>
      <c r="T33" s="84" t="n">
        <v>2.81</v>
      </c>
      <c r="U33" s="84" t="n">
        <v>5.2</v>
      </c>
      <c r="V33" s="85" t="n">
        <v>19.46</v>
      </c>
    </row>
    <row r="34">
      <c r="A34" s="79" t="inlineStr">
        <is>
          <t>LDO.MI</t>
        </is>
      </c>
      <c r="B34" s="80" t="inlineStr">
        <is>
          <t>Leonardo</t>
        </is>
      </c>
      <c r="C34" s="79" t="inlineStr">
        <is>
          <t>Industrials</t>
        </is>
      </c>
      <c r="D34" s="79" t="inlineStr">
        <is>
          <t>Italy</t>
        </is>
      </c>
      <c r="E34" s="79" t="inlineStr">
        <is>
          <t>Capital</t>
        </is>
      </c>
      <c r="F34" s="81" t="n">
        <v>45682</v>
      </c>
      <c r="G34" s="144" t="n">
        <v>37.28</v>
      </c>
      <c r="H34" s="83" t="n">
        <v>35</v>
      </c>
      <c r="I34" s="144" t="n">
        <v>46.74</v>
      </c>
      <c r="J34" s="144" t="n">
        <v>1635.9</v>
      </c>
      <c r="K34" s="84" t="n">
        <v>25.38</v>
      </c>
      <c r="L34" s="84" t="n">
        <v>-6.38</v>
      </c>
      <c r="M34" s="84" t="n">
        <v>1.27</v>
      </c>
      <c r="N34" s="84" t="n">
        <v>1.71</v>
      </c>
      <c r="O34" s="84" t="n">
        <v>26.49</v>
      </c>
      <c r="P34" s="84" t="n">
        <v>-1.11</v>
      </c>
      <c r="Q34" s="84" t="n">
        <v>2.72</v>
      </c>
      <c r="R34" s="84" t="n">
        <v>13.62</v>
      </c>
      <c r="S34" s="84" t="n">
        <v>10.29</v>
      </c>
      <c r="T34" s="84" t="n">
        <v>11.17</v>
      </c>
      <c r="U34" s="84" t="n">
        <v>20.03</v>
      </c>
      <c r="V34" s="85" t="n">
        <v>47.41</v>
      </c>
    </row>
    <row r="35">
      <c r="A35" s="79" t="inlineStr">
        <is>
          <t>RWE.DE</t>
        </is>
      </c>
      <c r="B35" s="80" t="inlineStr">
        <is>
          <t>RWE</t>
        </is>
      </c>
      <c r="C35" s="79" t="inlineStr">
        <is>
          <t>Utilities</t>
        </is>
      </c>
      <c r="D35" s="79" t="inlineStr">
        <is>
          <t>Germany</t>
        </is>
      </c>
      <c r="E35" s="79" t="inlineStr">
        <is>
          <t>Capital</t>
        </is>
      </c>
      <c r="F35" s="81" t="n">
        <v>45663</v>
      </c>
      <c r="G35" s="144" t="n">
        <v>30.41</v>
      </c>
      <c r="H35" s="83" t="n">
        <v>14</v>
      </c>
      <c r="I35" s="144" t="n">
        <v>57.98</v>
      </c>
      <c r="J35" s="144" t="n">
        <v>811.72</v>
      </c>
      <c r="K35" s="84" t="n">
        <v>90.66</v>
      </c>
      <c r="L35" s="84" t="n">
        <v>-3.18</v>
      </c>
      <c r="M35" s="84" t="n">
        <v>4.32</v>
      </c>
      <c r="N35" s="84" t="n">
        <v>0.85</v>
      </c>
      <c r="O35" s="84" t="n">
        <v>21.24</v>
      </c>
      <c r="P35" s="84" t="n">
        <v>69.42</v>
      </c>
      <c r="Q35" s="84" t="n">
        <v>-11.2</v>
      </c>
      <c r="R35" s="84" t="n"/>
      <c r="S35" s="84" t="n">
        <v>2.62</v>
      </c>
      <c r="T35" s="84" t="n">
        <v>4.21</v>
      </c>
      <c r="U35" s="84" t="n">
        <v>6.25</v>
      </c>
      <c r="V35" s="85" t="n">
        <v>15.26</v>
      </c>
    </row>
    <row r="36">
      <c r="A36" s="100" t="inlineStr">
        <is>
          <t>CRM</t>
        </is>
      </c>
      <c r="B36" s="101" t="inlineStr">
        <is>
          <t>Salesforce Inc</t>
        </is>
      </c>
      <c r="C36" s="100" t="inlineStr">
        <is>
          <t>Technology</t>
        </is>
      </c>
      <c r="D36" s="100" t="inlineStr">
        <is>
          <t>United States</t>
        </is>
      </c>
      <c r="E36" s="100" t="inlineStr">
        <is>
          <t>Capital</t>
        </is>
      </c>
      <c r="F36" s="102" t="n">
        <v>46197</v>
      </c>
      <c r="G36" s="147" t="n">
        <v>135.15</v>
      </c>
      <c r="H36" s="104" t="n">
        <v>8</v>
      </c>
      <c r="I36" s="147" t="n">
        <v>204.14</v>
      </c>
      <c r="J36" s="147" t="n">
        <v>1633.12</v>
      </c>
      <c r="K36" s="105" t="n">
        <v>51.05</v>
      </c>
      <c r="L36" s="105" t="n">
        <v>-7.5</v>
      </c>
      <c r="M36" s="105" t="n">
        <v>17.02</v>
      </c>
      <c r="N36" s="105" t="n">
        <v>1.71</v>
      </c>
      <c r="O36" s="105" t="n">
        <v>6.97</v>
      </c>
      <c r="P36" s="105" t="n">
        <v>44.08</v>
      </c>
      <c r="Q36" s="105" t="n">
        <v>7.64</v>
      </c>
      <c r="R36" s="105" t="n">
        <v>15.83</v>
      </c>
      <c r="S36" s="105" t="n">
        <v>9.49</v>
      </c>
      <c r="T36" s="105" t="n">
        <v>9.720000000000001</v>
      </c>
      <c r="U36" s="105" t="n">
        <v>-4.38</v>
      </c>
      <c r="V36" s="106" t="n">
        <v>50.07</v>
      </c>
    </row>
    <row r="37">
      <c r="A37" s="79" t="inlineStr">
        <is>
          <t>AIR.PA</t>
        </is>
      </c>
      <c r="B37" s="80" t="inlineStr">
        <is>
          <t>Airbus</t>
        </is>
      </c>
      <c r="C37" s="79" t="inlineStr">
        <is>
          <t>Industrials</t>
        </is>
      </c>
      <c r="D37" s="79" t="inlineStr">
        <is>
          <t>Netherlands</t>
        </is>
      </c>
      <c r="E37" s="79" t="inlineStr">
        <is>
          <t>Capital</t>
        </is>
      </c>
      <c r="F37" s="81" t="n">
        <v>45632</v>
      </c>
      <c r="G37" s="144" t="n">
        <v>156</v>
      </c>
      <c r="H37" s="83" t="n">
        <v>1.04</v>
      </c>
      <c r="I37" s="144" t="n">
        <v>187.73</v>
      </c>
      <c r="J37" s="144" t="n">
        <v>195.24</v>
      </c>
      <c r="K37" s="84" t="n">
        <v>20.34</v>
      </c>
      <c r="L37" s="84" t="n">
        <v>-5.82</v>
      </c>
      <c r="M37" s="84" t="n">
        <v>0.92</v>
      </c>
      <c r="N37" s="84" t="n">
        <v>0.2</v>
      </c>
      <c r="O37" s="84" t="n">
        <v>23.12</v>
      </c>
      <c r="P37" s="84" t="n">
        <v>-2.78</v>
      </c>
      <c r="Q37" s="84" t="n">
        <v>2.71</v>
      </c>
      <c r="R37" s="84" t="n">
        <v>7.98</v>
      </c>
      <c r="S37" s="84" t="n">
        <v>11.77</v>
      </c>
      <c r="T37" s="84" t="n">
        <v>11.8</v>
      </c>
      <c r="U37" s="84" t="n">
        <v>19.63</v>
      </c>
      <c r="V37" s="85" t="n">
        <v>46.65</v>
      </c>
    </row>
    <row r="38">
      <c r="A38" s="86" t="inlineStr">
        <is>
          <t>FFARM.AS</t>
        </is>
      </c>
      <c r="B38" s="87" t="inlineStr">
        <is>
          <t>ForFarmers</t>
        </is>
      </c>
      <c r="C38" s="86" t="inlineStr">
        <is>
          <t>Consumer Defensive</t>
        </is>
      </c>
      <c r="D38" s="86" t="inlineStr">
        <is>
          <t>Netherlands</t>
        </is>
      </c>
      <c r="E38" s="86" t="inlineStr">
        <is>
          <t>Capital</t>
        </is>
      </c>
      <c r="F38" s="88" t="n">
        <v>46273</v>
      </c>
      <c r="G38" s="145" t="n">
        <v>5.63</v>
      </c>
      <c r="H38" s="90" t="n">
        <v>250</v>
      </c>
      <c r="I38" s="145" t="n">
        <v>5.62</v>
      </c>
      <c r="J38" s="145" t="n">
        <v>1405</v>
      </c>
      <c r="K38" s="91" t="n">
        <v>-0.18</v>
      </c>
      <c r="L38" s="91" t="n">
        <v>4.55</v>
      </c>
      <c r="M38" s="91" t="n">
        <v>-0.18</v>
      </c>
      <c r="N38" s="91" t="n">
        <v>1.47</v>
      </c>
      <c r="O38" s="91" t="n">
        <v>5.26</v>
      </c>
      <c r="P38" s="91" t="n">
        <v>-5.44</v>
      </c>
      <c r="Q38" s="91" t="n">
        <v>19.04</v>
      </c>
      <c r="R38" s="91" t="n">
        <v>130</v>
      </c>
      <c r="S38" s="91" t="n">
        <v>14.52</v>
      </c>
      <c r="T38" s="91" t="n">
        <v>5.68</v>
      </c>
      <c r="U38" s="91" t="n">
        <v>0.5</v>
      </c>
      <c r="V38" s="92" t="n">
        <v>73.94</v>
      </c>
    </row>
    <row r="39">
      <c r="A39" s="79" t="inlineStr">
        <is>
          <t>PYPL</t>
        </is>
      </c>
      <c r="B39" s="80" t="inlineStr">
        <is>
          <t>PayPal Holdings Inc</t>
        </is>
      </c>
      <c r="C39" s="79" t="inlineStr">
        <is>
          <t>Financial Services</t>
        </is>
      </c>
      <c r="D39" s="79" t="inlineStr">
        <is>
          <t>United States</t>
        </is>
      </c>
      <c r="E39" s="79" t="inlineStr">
        <is>
          <t>Capital</t>
        </is>
      </c>
      <c r="F39" s="81" t="n">
        <v>46296</v>
      </c>
      <c r="G39" s="144" t="n">
        <v>47.28</v>
      </c>
      <c r="H39" s="83" t="n">
        <v>17</v>
      </c>
      <c r="I39" s="144" t="n">
        <v>49.42</v>
      </c>
      <c r="J39" s="144" t="n">
        <v>840.14</v>
      </c>
      <c r="K39" s="84" t="n">
        <v>4.54</v>
      </c>
      <c r="L39" s="84" t="n">
        <v>3.37</v>
      </c>
      <c r="M39" s="84" t="n">
        <v>4.54</v>
      </c>
      <c r="N39" s="84" t="n">
        <v>0.88</v>
      </c>
      <c r="O39" s="84" t="n">
        <v>2.23</v>
      </c>
      <c r="P39" s="84" t="n">
        <v>2.31</v>
      </c>
      <c r="Q39" s="84" t="n">
        <v>11.62</v>
      </c>
      <c r="R39" s="84" t="n">
        <v>-17.78</v>
      </c>
      <c r="S39" s="84" t="n">
        <v>17.59</v>
      </c>
      <c r="T39" s="84" t="n">
        <v>4.18</v>
      </c>
      <c r="U39" s="84" t="n">
        <v>7.22</v>
      </c>
      <c r="V39" s="85" t="n">
        <v>40.25</v>
      </c>
    </row>
    <row r="40">
      <c r="A40" s="79" t="inlineStr">
        <is>
          <t>SAAB-B.ST</t>
        </is>
      </c>
      <c r="B40" s="80" t="inlineStr">
        <is>
          <t>Saab</t>
        </is>
      </c>
      <c r="C40" s="79" t="inlineStr">
        <is>
          <t>Industrials</t>
        </is>
      </c>
      <c r="D40" s="79" t="inlineStr">
        <is>
          <t>Sweden</t>
        </is>
      </c>
      <c r="E40" s="79" t="inlineStr">
        <is>
          <t>Capital</t>
        </is>
      </c>
      <c r="F40" s="81" t="n">
        <v>45721</v>
      </c>
      <c r="G40" s="144" t="n">
        <v>33.18</v>
      </c>
      <c r="H40" s="83" t="n">
        <v>24</v>
      </c>
      <c r="I40" s="144" t="n">
        <v>52.98</v>
      </c>
      <c r="J40" s="144" t="n">
        <v>1271.52</v>
      </c>
      <c r="K40" s="84" t="n">
        <v>59.69</v>
      </c>
      <c r="L40" s="84" t="n">
        <v>4.92</v>
      </c>
      <c r="M40" s="84" t="n">
        <v>3.14</v>
      </c>
      <c r="N40" s="84" t="n">
        <v>1.33</v>
      </c>
      <c r="O40" s="84" t="n">
        <v>30.69</v>
      </c>
      <c r="P40" s="84" t="n">
        <v>29</v>
      </c>
      <c r="Q40" s="84" t="n">
        <v>1.51</v>
      </c>
      <c r="R40" s="84" t="n">
        <v>157.95</v>
      </c>
      <c r="S40" s="84" t="n">
        <v>11.37</v>
      </c>
      <c r="T40" s="84" t="n">
        <v>21.59</v>
      </c>
      <c r="U40" s="84" t="n">
        <v>26.57</v>
      </c>
      <c r="V40" s="85" t="n">
        <v>60.07</v>
      </c>
    </row>
    <row r="41">
      <c r="A41" s="79" t="inlineStr">
        <is>
          <t>ULVR.L</t>
        </is>
      </c>
      <c r="B41" s="80" t="inlineStr">
        <is>
          <t>Unilever - GBP</t>
        </is>
      </c>
      <c r="C41" s="79" t="inlineStr">
        <is>
          <t>Consumer Defensive</t>
        </is>
      </c>
      <c r="D41" s="79" t="inlineStr">
        <is>
          <t>United Kingdom</t>
        </is>
      </c>
      <c r="E41" s="79" t="inlineStr">
        <is>
          <t>Capital</t>
        </is>
      </c>
      <c r="F41" s="81" t="n">
        <v>46127</v>
      </c>
      <c r="G41" s="144" t="n">
        <v>48.81</v>
      </c>
      <c r="H41" s="83" t="n">
        <v>48.4</v>
      </c>
      <c r="I41" s="144" t="n">
        <v>55.18</v>
      </c>
      <c r="J41" s="144" t="n">
        <v>2670.71</v>
      </c>
      <c r="K41" s="84" t="n">
        <v>13.05</v>
      </c>
      <c r="L41" s="84" t="n">
        <v>2.68</v>
      </c>
      <c r="M41" s="84" t="n">
        <v>2.61</v>
      </c>
      <c r="N41" s="84" t="n">
        <v>2.79</v>
      </c>
      <c r="O41" s="84" t="n">
        <v>17.93</v>
      </c>
      <c r="P41" s="84" t="n">
        <v>-4.88</v>
      </c>
      <c r="Q41" s="84" t="n">
        <v>5.68</v>
      </c>
      <c r="R41" s="84" t="n">
        <v>-14.5</v>
      </c>
      <c r="S41" s="84" t="n">
        <v>46.6</v>
      </c>
      <c r="T41" s="84" t="n">
        <v>4.07</v>
      </c>
      <c r="U41" s="84" t="n">
        <v>6.54</v>
      </c>
      <c r="V41" s="85" t="n">
        <v>59.88</v>
      </c>
    </row>
    <row r="42">
      <c r="A42" s="93" t="inlineStr">
        <is>
          <t>TSM</t>
        </is>
      </c>
      <c r="B42" s="94" t="inlineStr">
        <is>
          <t>Taiwan Semiconductor Manufacturing Co Ltd - ADR</t>
        </is>
      </c>
      <c r="C42" s="93" t="inlineStr">
        <is>
          <t>Technology</t>
        </is>
      </c>
      <c r="D42" s="93" t="inlineStr">
        <is>
          <t>Taiwan</t>
        </is>
      </c>
      <c r="E42" s="93" t="inlineStr">
        <is>
          <t>Capital</t>
        </is>
      </c>
      <c r="F42" s="95" t="n">
        <v>45757</v>
      </c>
      <c r="G42" s="146" t="n">
        <v>147.77</v>
      </c>
      <c r="H42" s="97" t="n">
        <v>8</v>
      </c>
      <c r="I42" s="146" t="n">
        <v>404.13</v>
      </c>
      <c r="J42" s="146" t="n">
        <v>3233.04</v>
      </c>
      <c r="K42" s="98" t="n">
        <v>173.49</v>
      </c>
      <c r="L42" s="98" t="n">
        <v>4.63</v>
      </c>
      <c r="M42" s="98" t="n">
        <v>9.640000000000001</v>
      </c>
      <c r="N42" s="98" t="n">
        <v>3.38</v>
      </c>
      <c r="O42" s="98" t="n">
        <v>47.16</v>
      </c>
      <c r="P42" s="98" t="n">
        <v>126.33</v>
      </c>
      <c r="Q42" s="98" t="n">
        <v>1.32</v>
      </c>
      <c r="R42" s="98" t="n">
        <v>15.23</v>
      </c>
      <c r="S42" s="98" t="n">
        <v>25.16</v>
      </c>
      <c r="T42" s="98" t="n">
        <v>35.34</v>
      </c>
      <c r="U42" s="98" t="n">
        <v>30.04</v>
      </c>
      <c r="V42" s="99" t="n">
        <v>57.07</v>
      </c>
    </row>
    <row r="43">
      <c r="A43" s="79" t="inlineStr">
        <is>
          <t>HEN3.DE</t>
        </is>
      </c>
      <c r="B43" s="80" t="inlineStr">
        <is>
          <t>Henkel</t>
        </is>
      </c>
      <c r="C43" s="79" t="inlineStr">
        <is>
          <t>Consumer Defensive</t>
        </is>
      </c>
      <c r="D43" s="79" t="inlineStr">
        <is>
          <t>Germany</t>
        </is>
      </c>
      <c r="E43" s="79" t="inlineStr">
        <is>
          <t>Capital</t>
        </is>
      </c>
      <c r="F43" s="81" t="n">
        <v>46041</v>
      </c>
      <c r="G43" s="144" t="n">
        <v>72.40000000000001</v>
      </c>
      <c r="H43" s="83" t="n">
        <v>15.2</v>
      </c>
      <c r="I43" s="144" t="n">
        <v>74.40000000000001</v>
      </c>
      <c r="J43" s="144" t="n">
        <v>1130.88</v>
      </c>
      <c r="K43" s="84" t="n">
        <v>2.76</v>
      </c>
      <c r="L43" s="84" t="n">
        <v>2.99</v>
      </c>
      <c r="M43" s="84" t="n">
        <v>0.34</v>
      </c>
      <c r="N43" s="84" t="n">
        <v>1.18</v>
      </c>
      <c r="O43" s="84" t="n">
        <v>18.58</v>
      </c>
      <c r="P43" s="84" t="n">
        <v>-15.82</v>
      </c>
      <c r="Q43" s="84" t="n">
        <v>6.11</v>
      </c>
      <c r="R43" s="84" t="n">
        <v>-26.14</v>
      </c>
      <c r="S43" s="84" t="n">
        <v>8.93</v>
      </c>
      <c r="T43" s="84" t="n">
        <v>6</v>
      </c>
      <c r="U43" s="84" t="n">
        <v>6.67</v>
      </c>
      <c r="V43" s="85" t="n">
        <v>46.32</v>
      </c>
    </row>
    <row r="44">
      <c r="A44" s="79" t="inlineStr">
        <is>
          <t>IDCC</t>
        </is>
      </c>
      <c r="B44" s="80" t="inlineStr">
        <is>
          <t>InterDigital, Inc.</t>
        </is>
      </c>
      <c r="C44" s="79" t="inlineStr">
        <is>
          <t>Technology</t>
        </is>
      </c>
      <c r="D44" s="79" t="inlineStr">
        <is>
          <t>United States</t>
        </is>
      </c>
      <c r="E44" s="79" t="inlineStr">
        <is>
          <t>Capital</t>
        </is>
      </c>
      <c r="F44" s="81" t="n">
        <v>45642</v>
      </c>
      <c r="G44" s="144" t="n">
        <v>186.62</v>
      </c>
      <c r="H44" s="83" t="n">
        <v>2</v>
      </c>
      <c r="I44" s="144" t="n">
        <v>294.16</v>
      </c>
      <c r="J44" s="144" t="n">
        <v>588.3200000000001</v>
      </c>
      <c r="K44" s="84" t="n">
        <v>57.63</v>
      </c>
      <c r="L44" s="84" t="n">
        <v>-5.38</v>
      </c>
      <c r="M44" s="84" t="n">
        <v>2.74</v>
      </c>
      <c r="N44" s="84" t="n">
        <v>0.62</v>
      </c>
      <c r="O44" s="84" t="n">
        <v>22.56</v>
      </c>
      <c r="P44" s="84" t="n">
        <v>35.07</v>
      </c>
      <c r="Q44" s="84" t="n">
        <v>5.54</v>
      </c>
      <c r="R44" s="84" t="n">
        <v>122.72</v>
      </c>
      <c r="S44" s="84" t="n">
        <v>25.33</v>
      </c>
      <c r="T44" s="84" t="n">
        <v>-5.28</v>
      </c>
      <c r="U44" s="84" t="n">
        <v>0.28</v>
      </c>
      <c r="V44" s="85" t="n">
        <v>56.81</v>
      </c>
    </row>
    <row r="45">
      <c r="A45" s="86" t="inlineStr">
        <is>
          <t>ACM.US</t>
        </is>
      </c>
      <c r="B45" s="87" t="inlineStr">
        <is>
          <t>AECOM</t>
        </is>
      </c>
      <c r="C45" s="86" t="inlineStr">
        <is>
          <t>Industrials</t>
        </is>
      </c>
      <c r="D45" s="86" t="inlineStr">
        <is>
          <t>United States</t>
        </is>
      </c>
      <c r="E45" s="86" t="inlineStr">
        <is>
          <t>Freedom24</t>
        </is>
      </c>
      <c r="F45" s="88" t="n">
        <v>45790</v>
      </c>
      <c r="G45" s="145" t="n">
        <v>96.78</v>
      </c>
      <c r="H45" s="90" t="n">
        <v>10</v>
      </c>
      <c r="I45" s="145" t="n">
        <v>53.01</v>
      </c>
      <c r="J45" s="145" t="n">
        <v>530.1</v>
      </c>
      <c r="K45" s="91" t="n">
        <v>-45.23</v>
      </c>
      <c r="L45" s="91" t="n">
        <v>-6.69</v>
      </c>
      <c r="M45" s="91" t="n">
        <v>-2.83</v>
      </c>
      <c r="N45" s="91" t="n">
        <v>0.55</v>
      </c>
      <c r="O45" s="91" t="n">
        <v>32.77</v>
      </c>
      <c r="P45" s="91" t="n">
        <v>-78</v>
      </c>
      <c r="Q45" s="91" t="n">
        <v>8.98</v>
      </c>
      <c r="R45" s="91" t="n">
        <v>-3.24</v>
      </c>
      <c r="S45" s="91" t="n">
        <v>15.81</v>
      </c>
      <c r="T45" s="91" t="n">
        <v>8.73</v>
      </c>
      <c r="U45" s="91" t="n">
        <v>59.02</v>
      </c>
      <c r="V45" s="92" t="n">
        <v>63.36</v>
      </c>
    </row>
    <row r="46">
      <c r="A46" s="86" t="inlineStr">
        <is>
          <t>AEGN.GR</t>
        </is>
      </c>
      <c r="B46" s="87" t="inlineStr">
        <is>
          <t>AEGEAN AIRLINES (CR)</t>
        </is>
      </c>
      <c r="C46" s="86" t="inlineStr">
        <is>
          <t>Industrials</t>
        </is>
      </c>
      <c r="D46" s="86" t="inlineStr">
        <is>
          <t>Greece</t>
        </is>
      </c>
      <c r="E46" s="86" t="inlineStr">
        <is>
          <t>Freedom24</t>
        </is>
      </c>
      <c r="F46" s="88" t="n">
        <v>46166</v>
      </c>
      <c r="G46" s="145" t="n">
        <v>12.3</v>
      </c>
      <c r="H46" s="90" t="n">
        <v>181</v>
      </c>
      <c r="I46" s="145" t="n">
        <v>10.9</v>
      </c>
      <c r="J46" s="145" t="n">
        <v>1972.9</v>
      </c>
      <c r="K46" s="91" t="n">
        <v>-11.38</v>
      </c>
      <c r="L46" s="91" t="n">
        <v>-6.03</v>
      </c>
      <c r="M46" s="91" t="n">
        <v>-2.85</v>
      </c>
      <c r="N46" s="91" t="n">
        <v>2.06</v>
      </c>
      <c r="O46" s="91" t="n">
        <v>8.15</v>
      </c>
      <c r="P46" s="91" t="n">
        <v>-19.53</v>
      </c>
      <c r="Q46" s="91" t="n">
        <v>7.28</v>
      </c>
      <c r="R46" s="91" t="n">
        <v>-74.81999999999999</v>
      </c>
      <c r="S46" s="91" t="n">
        <v>16.01</v>
      </c>
      <c r="T46" s="91" t="n">
        <v>4.66</v>
      </c>
      <c r="U46" s="91" t="n">
        <v>9.609999999999999</v>
      </c>
      <c r="V46" s="92" t="n">
        <v>45.83</v>
      </c>
    </row>
    <row r="47">
      <c r="A47" s="79" t="inlineStr">
        <is>
          <t>ALPHA.GR</t>
        </is>
      </c>
      <c r="B47" s="80" t="inlineStr">
        <is>
          <t>ALPHA BANK (CR)</t>
        </is>
      </c>
      <c r="C47" s="79" t="inlineStr">
        <is>
          <t>Financial Services</t>
        </is>
      </c>
      <c r="D47" s="79" t="inlineStr">
        <is>
          <t>Greece</t>
        </is>
      </c>
      <c r="E47" s="79" t="inlineStr">
        <is>
          <t>Freedom24</t>
        </is>
      </c>
      <c r="F47" s="81" t="n">
        <v>46230</v>
      </c>
      <c r="G47" s="144" t="n">
        <v>4.1</v>
      </c>
      <c r="H47" s="83" t="n">
        <v>478</v>
      </c>
      <c r="I47" s="144" t="n">
        <v>4.18</v>
      </c>
      <c r="J47" s="144" t="n">
        <v>1998.04</v>
      </c>
      <c r="K47" s="84" t="n">
        <v>1.95</v>
      </c>
      <c r="L47" s="84" t="n">
        <v>-14.87</v>
      </c>
      <c r="M47" s="84" t="n">
        <v>0.97</v>
      </c>
      <c r="N47" s="84" t="n">
        <v>2.09</v>
      </c>
      <c r="O47" s="84" t="n">
        <v>7.41</v>
      </c>
      <c r="P47" s="84" t="n">
        <v>-5.46</v>
      </c>
      <c r="Q47" s="84" t="n">
        <v>7.14</v>
      </c>
      <c r="R47" s="84" t="n"/>
      <c r="S47" s="84" t="n"/>
      <c r="T47" s="84" t="n">
        <v>9.48</v>
      </c>
      <c r="U47" s="84" t="n">
        <v>16.26</v>
      </c>
      <c r="V47" s="85" t="n">
        <v>78.52</v>
      </c>
    </row>
    <row r="48">
      <c r="A48" s="93" t="inlineStr">
        <is>
          <t>ASML.EU</t>
        </is>
      </c>
      <c r="B48" s="94" t="inlineStr">
        <is>
          <t>ASML Holding</t>
        </is>
      </c>
      <c r="C48" s="93" t="inlineStr">
        <is>
          <t>Technology</t>
        </is>
      </c>
      <c r="D48" s="93" t="inlineStr">
        <is>
          <t>Netherlands</t>
        </is>
      </c>
      <c r="E48" s="93" t="inlineStr">
        <is>
          <t>Freedom24</t>
        </is>
      </c>
      <c r="F48" s="95" t="n">
        <v>45848</v>
      </c>
      <c r="G48" s="146" t="n">
        <v>682.3</v>
      </c>
      <c r="H48" s="97" t="n">
        <v>1</v>
      </c>
      <c r="I48" s="146" t="n">
        <v>1601.6</v>
      </c>
      <c r="J48" s="146" t="n">
        <v>1601.6</v>
      </c>
      <c r="K48" s="98" t="n">
        <v>134.74</v>
      </c>
      <c r="L48" s="98" t="n">
        <v>4.83</v>
      </c>
      <c r="M48" s="98" t="n">
        <v>8.98</v>
      </c>
      <c r="N48" s="98" t="n">
        <v>1.67</v>
      </c>
      <c r="O48" s="98" t="n">
        <v>31.56</v>
      </c>
      <c r="P48" s="98" t="n">
        <v>103.18</v>
      </c>
      <c r="Q48" s="98" t="n">
        <v>1.81</v>
      </c>
      <c r="R48" s="98" t="n">
        <v>21.4</v>
      </c>
      <c r="S48" s="98" t="n">
        <v>38.77</v>
      </c>
      <c r="T48" s="98" t="n">
        <v>27.5</v>
      </c>
      <c r="U48" s="98" t="n">
        <v>35.67</v>
      </c>
      <c r="V48" s="99" t="n">
        <v>68.29000000000001</v>
      </c>
    </row>
    <row r="49">
      <c r="A49" s="79" t="inlineStr">
        <is>
          <t>BELA.GR</t>
        </is>
      </c>
      <c r="B49" s="80" t="inlineStr">
        <is>
          <t>JUMBO (CR)</t>
        </is>
      </c>
      <c r="C49" s="79" t="inlineStr">
        <is>
          <t>Consumer Cyclical</t>
        </is>
      </c>
      <c r="D49" s="79" t="inlineStr">
        <is>
          <t>Greece</t>
        </is>
      </c>
      <c r="E49" s="79" t="inlineStr">
        <is>
          <t>Freedom24</t>
        </is>
      </c>
      <c r="F49" s="81" t="n">
        <v>46111</v>
      </c>
      <c r="G49" s="144" t="n">
        <v>22.5</v>
      </c>
      <c r="H49" s="83" t="n">
        <v>90</v>
      </c>
      <c r="I49" s="144" t="n">
        <v>24.58</v>
      </c>
      <c r="J49" s="144" t="n">
        <v>2212.2</v>
      </c>
      <c r="K49" s="84" t="n">
        <v>9.24</v>
      </c>
      <c r="L49" s="84" t="n">
        <v>-5.82</v>
      </c>
      <c r="M49" s="84" t="n">
        <v>1.54</v>
      </c>
      <c r="N49" s="84" t="n">
        <v>2.31</v>
      </c>
      <c r="O49" s="84" t="n">
        <v>25.49</v>
      </c>
      <c r="P49" s="84" t="n">
        <v>-16.25</v>
      </c>
      <c r="Q49" s="84" t="n">
        <v>7.83</v>
      </c>
      <c r="R49" s="84" t="n">
        <v>10.32</v>
      </c>
      <c r="S49" s="84" t="n">
        <v>20.19</v>
      </c>
      <c r="T49" s="84" t="n">
        <v>6.23</v>
      </c>
      <c r="U49" s="84" t="n">
        <v>4.07</v>
      </c>
      <c r="V49" s="85" t="n">
        <v>61.89</v>
      </c>
    </row>
    <row r="50">
      <c r="A50" s="86" t="inlineStr">
        <is>
          <t>CAP.EU</t>
        </is>
      </c>
      <c r="B50" s="87" t="inlineStr">
        <is>
          <t>Capgemini</t>
        </is>
      </c>
      <c r="C50" s="86" t="inlineStr">
        <is>
          <t>Technology</t>
        </is>
      </c>
      <c r="D50" s="86" t="inlineStr">
        <is>
          <t>France</t>
        </is>
      </c>
      <c r="E50" s="86" t="inlineStr">
        <is>
          <t>Freedom24</t>
        </is>
      </c>
      <c r="F50" s="88" t="n">
        <v>45848</v>
      </c>
      <c r="G50" s="145" t="n">
        <v>146.72</v>
      </c>
      <c r="H50" s="90" t="n">
        <v>10</v>
      </c>
      <c r="I50" s="145" t="n">
        <v>115.05</v>
      </c>
      <c r="J50" s="145" t="n">
        <v>1150.5</v>
      </c>
      <c r="K50" s="91" t="n">
        <v>-21.59</v>
      </c>
      <c r="L50" s="91" t="n">
        <v>11.81</v>
      </c>
      <c r="M50" s="91" t="n">
        <v>-1.44</v>
      </c>
      <c r="N50" s="91" t="n">
        <v>1.2</v>
      </c>
      <c r="O50" s="91" t="n">
        <v>31.56</v>
      </c>
      <c r="P50" s="91" t="n">
        <v>-53.15</v>
      </c>
      <c r="Q50" s="91" t="n">
        <v>11.49</v>
      </c>
      <c r="R50" s="91" t="n">
        <v>-0.72</v>
      </c>
      <c r="S50" s="91" t="n">
        <v>9.43</v>
      </c>
      <c r="T50" s="91" t="n">
        <v>4.29</v>
      </c>
      <c r="U50" s="91" t="n">
        <v>7.2</v>
      </c>
      <c r="V50" s="92" t="n">
        <v>44.8</v>
      </c>
    </row>
    <row r="51">
      <c r="A51" s="79" t="inlineStr">
        <is>
          <t>COP.US</t>
        </is>
      </c>
      <c r="B51" s="80" t="inlineStr">
        <is>
          <t>ConocoPhillips</t>
        </is>
      </c>
      <c r="C51" s="79" t="inlineStr">
        <is>
          <t>Energy</t>
        </is>
      </c>
      <c r="D51" s="79" t="inlineStr">
        <is>
          <t>United States</t>
        </is>
      </c>
      <c r="E51" s="79" t="inlineStr">
        <is>
          <t>Freedom24</t>
        </is>
      </c>
      <c r="F51" s="81" t="n">
        <v>46092</v>
      </c>
      <c r="G51" s="144" t="n">
        <v>104.01</v>
      </c>
      <c r="H51" s="83" t="n">
        <v>21</v>
      </c>
      <c r="I51" s="144" t="n">
        <v>120.23</v>
      </c>
      <c r="J51" s="144" t="n">
        <v>2524.83</v>
      </c>
      <c r="K51" s="84" t="n">
        <v>15.59</v>
      </c>
      <c r="L51" s="84" t="n">
        <v>-2.37</v>
      </c>
      <c r="M51" s="84" t="n">
        <v>2.23</v>
      </c>
      <c r="N51" s="84" t="n">
        <v>2.64</v>
      </c>
      <c r="O51" s="84" t="n">
        <v>20.02</v>
      </c>
      <c r="P51" s="84" t="n">
        <v>-4.43</v>
      </c>
      <c r="Q51" s="84" t="n">
        <v>4.5</v>
      </c>
      <c r="R51" s="84" t="n">
        <v>-9.529999999999999</v>
      </c>
      <c r="S51" s="84" t="n">
        <v>8.220000000000001</v>
      </c>
      <c r="T51" s="84" t="n">
        <v>-5.72</v>
      </c>
      <c r="U51" s="84" t="n">
        <v>-7.86</v>
      </c>
      <c r="V51" s="85" t="n">
        <v>41.34</v>
      </c>
    </row>
    <row r="52">
      <c r="A52" s="79" t="inlineStr">
        <is>
          <t>EE.US</t>
        </is>
      </c>
      <c r="B52" s="80" t="inlineStr">
        <is>
          <t>Excelerate Energy Inc</t>
        </is>
      </c>
      <c r="C52" s="79" t="inlineStr">
        <is>
          <t>Energy</t>
        </is>
      </c>
      <c r="D52" s="79" t="inlineStr">
        <is>
          <t>United States</t>
        </is>
      </c>
      <c r="E52" s="79" t="inlineStr">
        <is>
          <t>Freedom24</t>
        </is>
      </c>
      <c r="F52" s="81" t="n">
        <v>45660</v>
      </c>
      <c r="G52" s="144" t="n">
        <v>30.96</v>
      </c>
      <c r="H52" s="83" t="n">
        <v>12</v>
      </c>
      <c r="I52" s="144" t="n">
        <v>31.07</v>
      </c>
      <c r="J52" s="144" t="n">
        <v>372.84</v>
      </c>
      <c r="K52" s="84" t="n">
        <v>0.36</v>
      </c>
      <c r="L52" s="84" t="n">
        <v>-9.5</v>
      </c>
      <c r="M52" s="84" t="n">
        <v>0.02</v>
      </c>
      <c r="N52" s="84" t="n">
        <v>0.39</v>
      </c>
      <c r="O52" s="84" t="n">
        <v>22.71</v>
      </c>
      <c r="P52" s="84" t="n">
        <v>-22.35</v>
      </c>
      <c r="Q52" s="84" t="n">
        <v>7.57</v>
      </c>
      <c r="R52" s="84" t="n">
        <v>127.34</v>
      </c>
      <c r="S52" s="84" t="n">
        <v>14.48</v>
      </c>
      <c r="T52" s="84" t="n">
        <v>27.03</v>
      </c>
      <c r="U52" s="84" t="n">
        <v>32.95</v>
      </c>
      <c r="V52" s="85" t="n">
        <v>87.31</v>
      </c>
    </row>
    <row r="53">
      <c r="A53" s="86" t="inlineStr">
        <is>
          <t>ELHA.GR</t>
        </is>
      </c>
      <c r="B53" s="87" t="inlineStr">
        <is>
          <t>ELVALHALCOR (CR)</t>
        </is>
      </c>
      <c r="C53" s="86" t="inlineStr">
        <is>
          <t>Industrials</t>
        </is>
      </c>
      <c r="D53" s="86" t="inlineStr">
        <is>
          <t>Greece</t>
        </is>
      </c>
      <c r="E53" s="86" t="inlineStr">
        <is>
          <t>Freedom24</t>
        </is>
      </c>
      <c r="F53" s="88" t="n">
        <v>46254</v>
      </c>
      <c r="G53" s="145" t="n">
        <v>3.68</v>
      </c>
      <c r="H53" s="90" t="n">
        <v>426</v>
      </c>
      <c r="I53" s="145" t="n">
        <v>3.35</v>
      </c>
      <c r="J53" s="145" t="n">
        <v>1427.1</v>
      </c>
      <c r="K53" s="91" t="n">
        <v>-8.970000000000001</v>
      </c>
      <c r="L53" s="91" t="n">
        <v>-8.470000000000001</v>
      </c>
      <c r="M53" s="91" t="n">
        <v>-8.970000000000001</v>
      </c>
      <c r="N53" s="91" t="n">
        <v>1.49</v>
      </c>
      <c r="O53" s="91" t="n">
        <v>5.89</v>
      </c>
      <c r="P53" s="91" t="n">
        <v>-14.86</v>
      </c>
      <c r="Q53" s="91" t="n">
        <v>5.3</v>
      </c>
      <c r="R53" s="91" t="n">
        <v>-58.86</v>
      </c>
      <c r="S53" s="91" t="n">
        <v>8.710000000000001</v>
      </c>
      <c r="T53" s="91" t="n">
        <v>0.58</v>
      </c>
      <c r="U53" s="91" t="n">
        <v>17.53</v>
      </c>
      <c r="V53" s="92" t="n">
        <v>32.4</v>
      </c>
    </row>
    <row r="54">
      <c r="A54" s="79" t="inlineStr">
        <is>
          <t>ETE.GR</t>
        </is>
      </c>
      <c r="B54" s="80" t="inlineStr">
        <is>
          <t>NATIONAL BANK (CR)</t>
        </is>
      </c>
      <c r="C54" s="79" t="inlineStr">
        <is>
          <t>Financial Services</t>
        </is>
      </c>
      <c r="D54" s="79" t="inlineStr">
        <is>
          <t>Greece</t>
        </is>
      </c>
      <c r="E54" s="79" t="inlineStr">
        <is>
          <t>Freedom24</t>
        </is>
      </c>
      <c r="F54" s="81" t="n">
        <v>46165</v>
      </c>
      <c r="G54" s="144" t="n">
        <v>14.43</v>
      </c>
      <c r="H54" s="83" t="n">
        <v>155</v>
      </c>
      <c r="I54" s="144" t="n">
        <v>16</v>
      </c>
      <c r="J54" s="144" t="n">
        <v>2480</v>
      </c>
      <c r="K54" s="84" t="n">
        <v>10.88</v>
      </c>
      <c r="L54" s="84" t="n">
        <v>-9.5</v>
      </c>
      <c r="M54" s="84" t="n">
        <v>2.72</v>
      </c>
      <c r="N54" s="84" t="n">
        <v>2.59</v>
      </c>
      <c r="O54" s="84" t="n">
        <v>8.15</v>
      </c>
      <c r="P54" s="84" t="n">
        <v>2.73</v>
      </c>
      <c r="Q54" s="84" t="n">
        <v>22.09</v>
      </c>
      <c r="R54" s="84" t="n"/>
      <c r="S54" s="84" t="n"/>
      <c r="T54" s="84" t="n">
        <v>8.949999999999999</v>
      </c>
      <c r="U54" s="84" t="n">
        <v>15.71</v>
      </c>
      <c r="V54" s="85" t="n">
        <v>49.85</v>
      </c>
    </row>
    <row r="55">
      <c r="A55" s="93" t="inlineStr">
        <is>
          <t>EUROB.GR</t>
        </is>
      </c>
      <c r="B55" s="94" t="inlineStr">
        <is>
          <t>EUROBANK (CR)</t>
        </is>
      </c>
      <c r="C55" s="93" t="inlineStr">
        <is>
          <t>Financial Services</t>
        </is>
      </c>
      <c r="D55" s="93" t="inlineStr">
        <is>
          <t>Greece</t>
        </is>
      </c>
      <c r="E55" s="93" t="inlineStr">
        <is>
          <t>Freedom24</t>
        </is>
      </c>
      <c r="F55" s="95" t="n">
        <v>46165</v>
      </c>
      <c r="G55" s="146" t="n">
        <v>3.47</v>
      </c>
      <c r="H55" s="97" t="n">
        <v>239</v>
      </c>
      <c r="I55" s="146" t="n">
        <v>4.32</v>
      </c>
      <c r="J55" s="146" t="n">
        <v>1032.48</v>
      </c>
      <c r="K55" s="98" t="n">
        <v>24.5</v>
      </c>
      <c r="L55" s="98" t="n">
        <v>-8.41</v>
      </c>
      <c r="M55" s="98" t="n">
        <v>6.12</v>
      </c>
      <c r="N55" s="98" t="n">
        <v>1.08</v>
      </c>
      <c r="O55" s="98" t="n">
        <v>8.15</v>
      </c>
      <c r="P55" s="98" t="n">
        <v>16.35</v>
      </c>
      <c r="Q55" s="98" t="n">
        <v>17.03</v>
      </c>
      <c r="R55" s="98" t="n">
        <v>2566.67</v>
      </c>
      <c r="S55" s="98" t="n"/>
      <c r="T55" s="98" t="n">
        <v>6.95</v>
      </c>
      <c r="U55" s="98" t="n">
        <v>13.6</v>
      </c>
      <c r="V55" s="99" t="n">
        <v>62.88</v>
      </c>
    </row>
    <row r="56">
      <c r="A56" s="79" t="inlineStr">
        <is>
          <t>EVD.EU</t>
        </is>
      </c>
      <c r="B56" s="80" t="inlineStr">
        <is>
          <t>CTS Eventim AG &amp; Co KGaA</t>
        </is>
      </c>
      <c r="C56" s="79" t="inlineStr">
        <is>
          <t>Communication Services</t>
        </is>
      </c>
      <c r="D56" s="79" t="inlineStr">
        <is>
          <t>Germany</t>
        </is>
      </c>
      <c r="E56" s="79" t="inlineStr">
        <is>
          <t>Freedom24</t>
        </is>
      </c>
      <c r="F56" s="81" t="n">
        <v>46146</v>
      </c>
      <c r="G56" s="144" t="n">
        <v>54.5</v>
      </c>
      <c r="H56" s="83" t="n">
        <v>10</v>
      </c>
      <c r="I56" s="144" t="n">
        <v>58.55</v>
      </c>
      <c r="J56" s="144" t="n">
        <v>585.5</v>
      </c>
      <c r="K56" s="84" t="n">
        <v>7.43</v>
      </c>
      <c r="L56" s="84" t="n">
        <v>3.34</v>
      </c>
      <c r="M56" s="84" t="n">
        <v>1.49</v>
      </c>
      <c r="N56" s="84" t="n">
        <v>0.61</v>
      </c>
      <c r="O56" s="84" t="n">
        <v>12.96</v>
      </c>
      <c r="P56" s="84" t="n">
        <v>-5.53</v>
      </c>
      <c r="Q56" s="84" t="n">
        <v>1.52</v>
      </c>
      <c r="R56" s="84" t="n">
        <v>-73.98</v>
      </c>
      <c r="S56" s="84" t="n">
        <v>28.82</v>
      </c>
      <c r="T56" s="84" t="n">
        <v>5.07</v>
      </c>
      <c r="U56" s="84" t="n">
        <v>8.17</v>
      </c>
      <c r="V56" s="85" t="n">
        <v>25.28</v>
      </c>
    </row>
    <row r="57">
      <c r="A57" s="79" t="inlineStr">
        <is>
          <t>FCX.US</t>
        </is>
      </c>
      <c r="B57" s="80" t="inlineStr">
        <is>
          <t>Freeport-McMoran Cp &amp; Gld</t>
        </is>
      </c>
      <c r="C57" s="79" t="inlineStr">
        <is>
          <t>Basic Materials</t>
        </is>
      </c>
      <c r="D57" s="79" t="inlineStr">
        <is>
          <t>United States</t>
        </is>
      </c>
      <c r="E57" s="79" t="inlineStr">
        <is>
          <t>Freedom24</t>
        </is>
      </c>
      <c r="F57" s="81" t="n">
        <v>45849</v>
      </c>
      <c r="G57" s="144" t="n">
        <v>39.46</v>
      </c>
      <c r="H57" s="83" t="n">
        <v>24</v>
      </c>
      <c r="I57" s="144" t="n">
        <v>65.84999999999999</v>
      </c>
      <c r="J57" s="144" t="n">
        <v>1580.4</v>
      </c>
      <c r="K57" s="84" t="n">
        <v>66.88</v>
      </c>
      <c r="L57" s="84" t="n">
        <v>3.69</v>
      </c>
      <c r="M57" s="84" t="n">
        <v>4.46</v>
      </c>
      <c r="N57" s="84" t="n">
        <v>1.65</v>
      </c>
      <c r="O57" s="84" t="n">
        <v>31.66</v>
      </c>
      <c r="P57" s="84" t="n">
        <v>35.22</v>
      </c>
      <c r="Q57" s="84" t="n">
        <v>1.05</v>
      </c>
      <c r="R57" s="84" t="n">
        <v>-52.55</v>
      </c>
      <c r="S57" s="84" t="n">
        <v>14.98</v>
      </c>
      <c r="T57" s="84" t="n">
        <v>20.46</v>
      </c>
      <c r="U57" s="84" t="n">
        <v>36.08</v>
      </c>
      <c r="V57" s="85" t="n">
        <v>57.8</v>
      </c>
    </row>
    <row r="58">
      <c r="A58" s="86" t="inlineStr">
        <is>
          <t>FOYRK.GR</t>
        </is>
      </c>
      <c r="B58" s="87" t="inlineStr">
        <is>
          <t>FOURLIS (CR)</t>
        </is>
      </c>
      <c r="C58" s="86" t="inlineStr">
        <is>
          <t>Consumer Cyclical</t>
        </is>
      </c>
      <c r="D58" s="86" t="inlineStr">
        <is>
          <t>Greece</t>
        </is>
      </c>
      <c r="E58" s="86" t="inlineStr">
        <is>
          <t>Freedom24</t>
        </is>
      </c>
      <c r="F58" s="88" t="n">
        <v>46265</v>
      </c>
      <c r="G58" s="145" t="n">
        <v>4.15</v>
      </c>
      <c r="H58" s="90" t="n">
        <v>300</v>
      </c>
      <c r="I58" s="145" t="n">
        <v>3.92</v>
      </c>
      <c r="J58" s="145" t="n">
        <v>1176</v>
      </c>
      <c r="K58" s="91" t="n">
        <v>-5.54</v>
      </c>
      <c r="L58" s="91" t="n">
        <v>-4.39</v>
      </c>
      <c r="M58" s="91" t="n">
        <v>-5.54</v>
      </c>
      <c r="N58" s="91" t="n">
        <v>1.23</v>
      </c>
      <c r="O58" s="91" t="n">
        <v>5.5</v>
      </c>
      <c r="P58" s="91" t="n">
        <v>-11.04</v>
      </c>
      <c r="Q58" s="91" t="n">
        <v>2.74</v>
      </c>
      <c r="R58" s="91" t="n">
        <v>-85.84</v>
      </c>
      <c r="S58" s="91" t="n">
        <v>3.13</v>
      </c>
      <c r="T58" s="91" t="n">
        <v>3</v>
      </c>
      <c r="U58" s="91" t="n">
        <v>108.33</v>
      </c>
      <c r="V58" s="92" t="n">
        <v>25.09</v>
      </c>
    </row>
    <row r="59">
      <c r="A59" s="86" t="inlineStr">
        <is>
          <t>LAMDA.GR</t>
        </is>
      </c>
      <c r="B59" s="87" t="inlineStr">
        <is>
          <t>LAMDA DEVELOPMENT (CR)</t>
        </is>
      </c>
      <c r="C59" s="86" t="inlineStr">
        <is>
          <t>Real Estate</t>
        </is>
      </c>
      <c r="D59" s="86" t="inlineStr">
        <is>
          <t>Greece</t>
        </is>
      </c>
      <c r="E59" s="86" t="inlineStr">
        <is>
          <t>Freedom24</t>
        </is>
      </c>
      <c r="F59" s="88" t="n">
        <v>46257</v>
      </c>
      <c r="G59" s="145" t="n">
        <v>6.48</v>
      </c>
      <c r="H59" s="90" t="n">
        <v>198</v>
      </c>
      <c r="I59" s="145" t="n">
        <v>6</v>
      </c>
      <c r="J59" s="145" t="n">
        <v>1188</v>
      </c>
      <c r="K59" s="91" t="n">
        <v>-7.41</v>
      </c>
      <c r="L59" s="91" t="n">
        <v>-11.11</v>
      </c>
      <c r="M59" s="91" t="n">
        <v>-7.41</v>
      </c>
      <c r="N59" s="91" t="n">
        <v>1.24</v>
      </c>
      <c r="O59" s="91" t="n">
        <v>6.32</v>
      </c>
      <c r="P59" s="91" t="n">
        <v>-13.73</v>
      </c>
      <c r="Q59" s="91" t="n">
        <v>-8.41</v>
      </c>
      <c r="R59" s="91" t="n"/>
      <c r="S59" s="91" t="n">
        <v>1.74</v>
      </c>
      <c r="T59" s="91" t="n">
        <v>31.43</v>
      </c>
      <c r="U59" s="91" t="n">
        <v>-75.29000000000001</v>
      </c>
      <c r="V59" s="92" t="n">
        <v>15.87</v>
      </c>
    </row>
    <row r="60">
      <c r="A60" s="79" t="inlineStr">
        <is>
          <t>LNG.US</t>
        </is>
      </c>
      <c r="B60" s="80" t="inlineStr">
        <is>
          <t>CHENIERE ENERGY INC</t>
        </is>
      </c>
      <c r="C60" s="79" t="inlineStr">
        <is>
          <t>Energy</t>
        </is>
      </c>
      <c r="D60" s="79" t="inlineStr">
        <is>
          <t>United States</t>
        </is>
      </c>
      <c r="E60" s="79" t="inlineStr">
        <is>
          <t>Freedom24</t>
        </is>
      </c>
      <c r="F60" s="81" t="n">
        <v>46122</v>
      </c>
      <c r="G60" s="144" t="n">
        <v>225.75</v>
      </c>
      <c r="H60" s="83" t="n">
        <v>9</v>
      </c>
      <c r="I60" s="144" t="n">
        <v>248.66</v>
      </c>
      <c r="J60" s="144" t="n">
        <v>2237.94</v>
      </c>
      <c r="K60" s="84" t="n">
        <v>10.15</v>
      </c>
      <c r="L60" s="84" t="n">
        <v>-0.06</v>
      </c>
      <c r="M60" s="84" t="n">
        <v>1.69</v>
      </c>
      <c r="N60" s="84" t="n">
        <v>2.34</v>
      </c>
      <c r="O60" s="84" t="n">
        <v>19.6</v>
      </c>
      <c r="P60" s="84" t="n">
        <v>-9.449999999999999</v>
      </c>
      <c r="Q60" s="84" t="n">
        <v>4.28</v>
      </c>
      <c r="R60" s="84" t="n">
        <v>-22.02</v>
      </c>
      <c r="S60" s="84" t="n">
        <v>24.33</v>
      </c>
      <c r="T60" s="84" t="n">
        <v>2.77</v>
      </c>
      <c r="U60" s="84" t="n">
        <v>-10.22</v>
      </c>
      <c r="V60" s="85" t="n">
        <v>49.42</v>
      </c>
    </row>
    <row r="61">
      <c r="A61" s="100" t="inlineStr">
        <is>
          <t>MOH.GR</t>
        </is>
      </c>
      <c r="B61" s="101" t="inlineStr">
        <is>
          <t>MOTOR OIL (CR)</t>
        </is>
      </c>
      <c r="C61" s="100" t="inlineStr">
        <is>
          <t>Energy</t>
        </is>
      </c>
      <c r="D61" s="100" t="inlineStr">
        <is>
          <t>Greece</t>
        </is>
      </c>
      <c r="E61" s="100" t="inlineStr">
        <is>
          <t>Freedom24</t>
        </is>
      </c>
      <c r="F61" s="102" t="n">
        <v>45649</v>
      </c>
      <c r="G61" s="147" t="n">
        <v>20.44</v>
      </c>
      <c r="H61" s="104" t="n">
        <v>15</v>
      </c>
      <c r="I61" s="147" t="n">
        <v>67.75</v>
      </c>
      <c r="J61" s="147" t="n">
        <v>1016.25</v>
      </c>
      <c r="K61" s="105" t="n">
        <v>231.46</v>
      </c>
      <c r="L61" s="105" t="n">
        <v>1.57</v>
      </c>
      <c r="M61" s="105" t="n">
        <v>11.02</v>
      </c>
      <c r="N61" s="105" t="n">
        <v>1.06</v>
      </c>
      <c r="O61" s="105" t="n">
        <v>24.53</v>
      </c>
      <c r="P61" s="105" t="n">
        <v>206.93</v>
      </c>
      <c r="Q61" s="105" t="n">
        <v>2.99</v>
      </c>
      <c r="R61" s="105" t="n">
        <v>1055.67</v>
      </c>
      <c r="S61" s="105" t="n">
        <v>6.75</v>
      </c>
      <c r="T61" s="105" t="n">
        <v>-9.949999999999999</v>
      </c>
      <c r="U61" s="105" t="n">
        <v>-41.52</v>
      </c>
      <c r="V61" s="106" t="n">
        <v>33.12</v>
      </c>
    </row>
    <row r="62">
      <c r="A62" s="79" t="inlineStr">
        <is>
          <t>MTLN.GR</t>
        </is>
      </c>
      <c r="B62" s="80" t="inlineStr">
        <is>
          <t>METLEN PLC (CR)</t>
        </is>
      </c>
      <c r="C62" s="79" t="inlineStr">
        <is>
          <t>Utilities</t>
        </is>
      </c>
      <c r="D62" s="79" t="inlineStr">
        <is>
          <t>Greece</t>
        </is>
      </c>
      <c r="E62" s="79" t="inlineStr">
        <is>
          <t>Freedom24</t>
        </is>
      </c>
      <c r="F62" s="81" t="n">
        <v>45883</v>
      </c>
      <c r="G62" s="144" t="n">
        <v>40.49</v>
      </c>
      <c r="H62" s="83" t="n">
        <v>64</v>
      </c>
      <c r="I62" s="144" t="n">
        <v>48.56</v>
      </c>
      <c r="J62" s="144" t="n">
        <v>3107.84</v>
      </c>
      <c r="K62" s="84" t="n">
        <v>19.93</v>
      </c>
      <c r="L62" s="84" t="n">
        <v>2.44</v>
      </c>
      <c r="M62" s="84" t="n">
        <v>1.53</v>
      </c>
      <c r="N62" s="84" t="n">
        <v>3.25</v>
      </c>
      <c r="O62" s="84" t="n">
        <v>27.74</v>
      </c>
      <c r="P62" s="84" t="n">
        <v>-7.81</v>
      </c>
      <c r="Q62" s="84" t="n">
        <v>-3.48</v>
      </c>
      <c r="R62" s="84" t="n"/>
      <c r="S62" s="84" t="n">
        <v>3.91</v>
      </c>
      <c r="T62" s="84" t="n">
        <v>3.78</v>
      </c>
      <c r="U62" s="84" t="n">
        <v>20.79</v>
      </c>
      <c r="V62" s="85" t="n">
        <v>44.74</v>
      </c>
    </row>
    <row r="63">
      <c r="A63" s="86" t="inlineStr">
        <is>
          <t>OTOEL.GR</t>
        </is>
      </c>
      <c r="B63" s="87" t="inlineStr">
        <is>
          <t>AUTOHELLAS (CR)</t>
        </is>
      </c>
      <c r="C63" s="86" t="inlineStr">
        <is>
          <t>Consumer Cyclical</t>
        </is>
      </c>
      <c r="D63" s="86" t="inlineStr">
        <is>
          <t>Greece</t>
        </is>
      </c>
      <c r="E63" s="86" t="inlineStr">
        <is>
          <t>Freedom24</t>
        </is>
      </c>
      <c r="F63" s="88" t="n">
        <v>46167</v>
      </c>
      <c r="G63" s="145" t="n">
        <v>10.89</v>
      </c>
      <c r="H63" s="90" t="n">
        <v>193</v>
      </c>
      <c r="I63" s="145" t="n">
        <v>10.52</v>
      </c>
      <c r="J63" s="145" t="n">
        <v>2030.36</v>
      </c>
      <c r="K63" s="91" t="n">
        <v>-3.4</v>
      </c>
      <c r="L63" s="91" t="n">
        <v>-7.56</v>
      </c>
      <c r="M63" s="91" t="n">
        <v>-0.85</v>
      </c>
      <c r="N63" s="91" t="n">
        <v>2.12</v>
      </c>
      <c r="O63" s="91" t="n">
        <v>8.15</v>
      </c>
      <c r="P63" s="91" t="n">
        <v>-11.55</v>
      </c>
      <c r="Q63" s="91" t="n">
        <v>-5.68</v>
      </c>
      <c r="R63" s="91" t="n"/>
      <c r="S63" s="91" t="n">
        <v>7.28</v>
      </c>
      <c r="T63" s="91" t="n"/>
      <c r="U63" s="91" t="n"/>
      <c r="V63" s="92" t="n">
        <v>16.28</v>
      </c>
    </row>
    <row r="64">
      <c r="A64" s="79" t="inlineStr">
        <is>
          <t>PPC.GR</t>
        </is>
      </c>
      <c r="B64" s="80" t="inlineStr">
        <is>
          <t>PPC (CR)</t>
        </is>
      </c>
      <c r="C64" s="79" t="inlineStr">
        <is>
          <t>Utilities</t>
        </is>
      </c>
      <c r="D64" s="79" t="inlineStr">
        <is>
          <t>Greece</t>
        </is>
      </c>
      <c r="E64" s="79" t="inlineStr">
        <is>
          <t>Freedom24</t>
        </is>
      </c>
      <c r="F64" s="81" t="n">
        <v>46043</v>
      </c>
      <c r="G64" s="144" t="n">
        <v>17.61</v>
      </c>
      <c r="H64" s="83" t="n">
        <v>80</v>
      </c>
      <c r="I64" s="144" t="n">
        <v>22.66</v>
      </c>
      <c r="J64" s="144" t="n">
        <v>1812.8</v>
      </c>
      <c r="K64" s="84" t="n">
        <v>28.68</v>
      </c>
      <c r="L64" s="84" t="n">
        <v>-5.26</v>
      </c>
      <c r="M64" s="84" t="n">
        <v>3.58</v>
      </c>
      <c r="N64" s="84" t="n">
        <v>1.9</v>
      </c>
      <c r="O64" s="84" t="n">
        <v>19.81</v>
      </c>
      <c r="P64" s="84" t="n">
        <v>8.869999999999999</v>
      </c>
      <c r="Q64" s="84" t="n">
        <v>9.68</v>
      </c>
      <c r="R64" s="84" t="n">
        <v>-56.37</v>
      </c>
      <c r="S64" s="84" t="n">
        <v>17.51</v>
      </c>
      <c r="T64" s="84" t="n">
        <v>2.28</v>
      </c>
      <c r="U64" s="84" t="n">
        <v>16.73</v>
      </c>
      <c r="V64" s="85" t="n">
        <v>65.31</v>
      </c>
    </row>
    <row r="65">
      <c r="A65" s="86" t="inlineStr">
        <is>
          <t>PSN.US</t>
        </is>
      </c>
      <c r="B65" s="87" t="inlineStr">
        <is>
          <t>PARSONS CORP</t>
        </is>
      </c>
      <c r="C65" s="86" t="inlineStr">
        <is>
          <t>Technology</t>
        </is>
      </c>
      <c r="D65" s="86" t="inlineStr">
        <is>
          <t>United States</t>
        </is>
      </c>
      <c r="E65" s="86" t="inlineStr">
        <is>
          <t>Freedom24</t>
        </is>
      </c>
      <c r="F65" s="88" t="n">
        <v>45790</v>
      </c>
      <c r="G65" s="145" t="n">
        <v>59.15</v>
      </c>
      <c r="H65" s="90" t="n">
        <v>10</v>
      </c>
      <c r="I65" s="145" t="n">
        <v>40.43</v>
      </c>
      <c r="J65" s="145" t="n">
        <v>404.3</v>
      </c>
      <c r="K65" s="91" t="n">
        <v>-31.65</v>
      </c>
      <c r="L65" s="91" t="n">
        <v>-1.46</v>
      </c>
      <c r="M65" s="91" t="n">
        <v>-1.98</v>
      </c>
      <c r="N65" s="91" t="n">
        <v>0.42</v>
      </c>
      <c r="O65" s="91" t="n">
        <v>32.77</v>
      </c>
      <c r="P65" s="91" t="n">
        <v>-64.42</v>
      </c>
      <c r="Q65" s="91" t="n">
        <v>8.52</v>
      </c>
      <c r="R65" s="91" t="n">
        <v>-13.49</v>
      </c>
      <c r="S65" s="91" t="n">
        <v>8.65</v>
      </c>
      <c r="T65" s="91" t="n">
        <v>5.78</v>
      </c>
      <c r="U65" s="91" t="n">
        <v>41.07</v>
      </c>
      <c r="V65" s="92" t="n">
        <v>46.14</v>
      </c>
    </row>
    <row r="66">
      <c r="A66" s="86" t="inlineStr">
        <is>
          <t>RHM.EU</t>
        </is>
      </c>
      <c r="B66" s="87" t="inlineStr">
        <is>
          <t>Rheinmetall AG</t>
        </is>
      </c>
      <c r="C66" s="86" t="inlineStr">
        <is>
          <t>Industrials</t>
        </is>
      </c>
      <c r="D66" s="86" t="inlineStr">
        <is>
          <t>Germany</t>
        </is>
      </c>
      <c r="E66" s="86" t="inlineStr">
        <is>
          <t>Freedom24</t>
        </is>
      </c>
      <c r="F66" s="88" t="n">
        <v>46146</v>
      </c>
      <c r="G66" s="145" t="n">
        <v>1396.6</v>
      </c>
      <c r="H66" s="90" t="n">
        <v>1</v>
      </c>
      <c r="I66" s="145" t="n">
        <v>935.9</v>
      </c>
      <c r="J66" s="145" t="n">
        <v>935.9</v>
      </c>
      <c r="K66" s="91" t="n">
        <v>-32.99</v>
      </c>
      <c r="L66" s="91" t="n">
        <v>-5.2</v>
      </c>
      <c r="M66" s="91" t="n">
        <v>-6.6</v>
      </c>
      <c r="N66" s="91" t="n">
        <v>0.98</v>
      </c>
      <c r="O66" s="91" t="n">
        <v>12.96</v>
      </c>
      <c r="P66" s="91" t="n">
        <v>-45.95</v>
      </c>
      <c r="Q66" s="91" t="n">
        <v>3.23</v>
      </c>
      <c r="R66" s="91" t="n">
        <v>43.22</v>
      </c>
      <c r="S66" s="91" t="n">
        <v>21.27</v>
      </c>
      <c r="T66" s="91" t="n">
        <v>32.82</v>
      </c>
      <c r="U66" s="91" t="n">
        <v>42.29</v>
      </c>
      <c r="V66" s="92" t="n">
        <v>78.58</v>
      </c>
    </row>
    <row r="67">
      <c r="A67" s="86" t="inlineStr">
        <is>
          <t>SIX3.EU</t>
        </is>
      </c>
      <c r="B67" s="87" t="inlineStr">
        <is>
          <t>Sixt SE</t>
        </is>
      </c>
      <c r="C67" s="86" t="inlineStr">
        <is>
          <t>Industrials</t>
        </is>
      </c>
      <c r="D67" s="86" t="inlineStr">
        <is>
          <t>Germany</t>
        </is>
      </c>
      <c r="E67" s="86" t="inlineStr">
        <is>
          <t>Freedom24</t>
        </is>
      </c>
      <c r="F67" s="88" t="n">
        <v>46146</v>
      </c>
      <c r="G67" s="145" t="n">
        <v>58.5</v>
      </c>
      <c r="H67" s="90" t="n">
        <v>6</v>
      </c>
      <c r="I67" s="145" t="n">
        <v>55.1</v>
      </c>
      <c r="J67" s="145" t="n">
        <v>330.6</v>
      </c>
      <c r="K67" s="91" t="n">
        <v>-5.81</v>
      </c>
      <c r="L67" s="91" t="n"/>
      <c r="M67" s="91" t="n">
        <v>-1.16</v>
      </c>
      <c r="N67" s="91" t="n">
        <v>0.35</v>
      </c>
      <c r="O67" s="91" t="n">
        <v>12.96</v>
      </c>
      <c r="P67" s="91" t="n">
        <v>-18.77</v>
      </c>
      <c r="Q67" s="91" t="n"/>
      <c r="R67" s="91" t="n"/>
      <c r="S67" s="91" t="n"/>
      <c r="T67" s="91" t="n"/>
      <c r="U67" s="91" t="n"/>
      <c r="V67" s="92" t="n"/>
    </row>
    <row r="68">
      <c r="A68" s="86" t="inlineStr">
        <is>
          <t>THEON.EU</t>
        </is>
      </c>
      <c r="B68" s="87" t="inlineStr">
        <is>
          <t>Theon International PLC</t>
        </is>
      </c>
      <c r="C68" s="86" t="inlineStr">
        <is>
          <t>Industrials</t>
        </is>
      </c>
      <c r="D68" s="86" t="inlineStr">
        <is>
          <t>Cyprus</t>
        </is>
      </c>
      <c r="E68" s="86" t="inlineStr">
        <is>
          <t>Freedom24</t>
        </is>
      </c>
      <c r="F68" s="88" t="n">
        <v>46019</v>
      </c>
      <c r="G68" s="145" t="n">
        <v>31.33</v>
      </c>
      <c r="H68" s="90" t="n">
        <v>44</v>
      </c>
      <c r="I68" s="145" t="n">
        <v>27.78</v>
      </c>
      <c r="J68" s="145" t="n">
        <v>1222.32</v>
      </c>
      <c r="K68" s="91" t="n">
        <v>-11.33</v>
      </c>
      <c r="L68" s="91" t="n">
        <v>-11.81</v>
      </c>
      <c r="M68" s="91" t="n">
        <v>-1.26</v>
      </c>
      <c r="N68" s="91" t="n">
        <v>1.28</v>
      </c>
      <c r="O68" s="91" t="n">
        <v>19.69</v>
      </c>
      <c r="P68" s="91" t="n">
        <v>-31.02</v>
      </c>
      <c r="Q68" s="91" t="n">
        <v>-1.71</v>
      </c>
      <c r="R68" s="91" t="n"/>
      <c r="S68" s="91" t="n">
        <v>22.48</v>
      </c>
      <c r="T68" s="91" t="n">
        <v>23.89</v>
      </c>
      <c r="U68" s="91" t="n">
        <v>18.87</v>
      </c>
      <c r="V68" s="92" t="n">
        <v>57.25</v>
      </c>
    </row>
    <row r="69">
      <c r="A69" s="93" t="inlineStr">
        <is>
          <t>VUAA.EU</t>
        </is>
      </c>
      <c r="B69" s="94" t="inlineStr">
        <is>
          <t>Vanguard S&amp;P 500 UCITS ETF</t>
        </is>
      </c>
      <c r="C69" s="93" t="n"/>
      <c r="D69" s="93" t="n"/>
      <c r="E69" s="93" t="inlineStr">
        <is>
          <t>Freedom24</t>
        </is>
      </c>
      <c r="F69" s="95" t="n">
        <v>46272</v>
      </c>
      <c r="G69" s="146" t="n">
        <v>128.29</v>
      </c>
      <c r="H69" s="97" t="n">
        <v>3</v>
      </c>
      <c r="I69" s="146" t="n">
        <v>134.9</v>
      </c>
      <c r="J69" s="146" t="n">
        <v>404.7</v>
      </c>
      <c r="K69" s="98" t="n">
        <v>5.15</v>
      </c>
      <c r="L69" s="98" t="n">
        <v>1.71</v>
      </c>
      <c r="M69" s="98" t="n">
        <v>5.15</v>
      </c>
      <c r="N69" s="98" t="n">
        <v>0.42</v>
      </c>
      <c r="O69" s="98" t="n">
        <v>5.05</v>
      </c>
      <c r="P69" s="98" t="n">
        <v>0.1</v>
      </c>
      <c r="Q69" s="98" t="n"/>
      <c r="R69" s="98" t="n"/>
      <c r="S69" s="98" t="n"/>
      <c r="T69" s="98" t="n"/>
      <c r="U69" s="98" t="n"/>
      <c r="V69" s="99" t="n"/>
    </row>
    <row r="70" ht="15" customHeight="1"/>
    <row r="72" ht="15" customHeight="1"/>
    <row r="73" ht="21" customHeight="1"/>
    <row r="74" ht="21" customHeight="1"/>
    <row r="75" ht="21" customHeight="1">
      <c r="B75" s="114" t="inlineStr">
        <is>
          <t>PORTFOLIO VALUE</t>
        </is>
      </c>
      <c r="E75" s="115" t="inlineStr">
        <is>
          <t>PORTFOLIO RETURN</t>
        </is>
      </c>
      <c r="F75" s="116" t="n"/>
      <c r="L75" s="117" t="inlineStr">
        <is>
          <t>EXCESS RETURN</t>
        </is>
      </c>
      <c r="N75" s="118" t="inlineStr">
        <is>
          <t>VUAA RETURN</t>
        </is>
      </c>
      <c r="O75" s="119" t="n"/>
    </row>
    <row r="76" ht="21" customHeight="1">
      <c r="B76" s="149">
        <f>IFERROR(SUMPRODUCT(SUBTOTAL(109,OFFSET(INDEX(StockSummary[current_price],1),ROW(StockSummary[current_price])-MIN(ROW(StockSummary[current_price])),0,1)),StockSummary[quantity]),0)</f>
        <v/>
      </c>
      <c r="E76" s="121">
        <f>IFERROR(SUMPRODUCT(SUBTOTAL(103,OFFSET(INDEX(StockSummary[symbol],1),ROW(StockSummary[symbol])-MIN(ROW(StockSummary[symbol])),0,1)),StockSummary[current_price],StockSummary[quantity])/SUMPRODUCT(SUBTOTAL(103,OFFSET(INDEX(StockSummary[symbol],1),ROW(StockSummary[symbol])-MIN(ROW(StockSummary[symbol])),0,1)),StockSummary[purchase_price],StockSummary[quantity])-1,0)</f>
        <v/>
      </c>
      <c r="F76" s="116" t="n"/>
      <c r="L76" s="122">
        <f>E76-N76</f>
        <v/>
      </c>
      <c r="N76" s="123">
        <f>IFERROR(SUMPRODUCT(SUBTOTAL(103,OFFSET(INDEX(StockSummary[symbol],1),ROW(StockSummary[symbol])-MIN(ROW(StockSummary[symbol])),0,1)),StockSummary[portfolio_weight],StockSummary[vuaa_return])/SUMPRODUCT(SUBTOTAL(103,OFFSET(INDEX(StockSummary[symbol],1),ROW(StockSummary[symbol])-MIN(ROW(StockSummary[symbol])),0,1)),StockSummary[portfolio_weight])/100,0)</f>
        <v/>
      </c>
      <c r="O76" s="119" t="n"/>
    </row>
    <row r="77" ht="21" customHeight="1"/>
    <row r="78" ht="21" customHeight="1"/>
    <row r="79" ht="21" customHeight="1">
      <c r="B79" s="124" t="inlineStr">
        <is>
          <t>TOTAL VALUE</t>
        </is>
      </c>
      <c r="E79" s="125" t="inlineStr">
        <is>
          <t>TOTAL PORTFOLIO RETURN</t>
        </is>
      </c>
      <c r="F79" s="126" t="n"/>
    </row>
    <row r="80" ht="21" customHeight="1">
      <c r="B80" s="150">
        <f>IFERROR(B76+SUM(SoldSummary[total_profit_loss]),B76)</f>
        <v/>
      </c>
      <c r="E80" s="128">
        <f>IFERROR((B80-(SUMPRODUCT(SUBTOTAL(103,OFFSET(INDEX(StockSummary[symbol],1),ROW(StockSummary[symbol])-MIN(ROW(StockSummary[symbol])),0,1)),StockSummary[purchase_price],StockSummary[quantity])))/(SUMPRODUCT(SUBTOTAL(103,OFFSET(INDEX(StockSummary[symbol],1),ROW(StockSummary[symbol])-MIN(ROW(StockSummary[symbol])),0,1)),StockSummary[purchase_price],StockSummary[quantity])),0)</f>
        <v/>
      </c>
      <c r="F80" s="126" t="n"/>
    </row>
    <row r="81" ht="21" customHeight="1"/>
  </sheetData>
  <mergeCells count="6">
    <mergeCell ref="N76:O76"/>
    <mergeCell ref="E76:F76"/>
    <mergeCell ref="E80:F80"/>
    <mergeCell ref="E75:F75"/>
    <mergeCell ref="N75:O75"/>
    <mergeCell ref="E79:F79"/>
  </mergeCells>
  <pageMargins left="0.7" right="0.7" top="0.75" bottom="0.75" header="0.3" footer="0.3"/>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L23"/>
  <sheetViews>
    <sheetView showGridLines="0" workbookViewId="0">
      <pane ySplit="1" topLeftCell="A2" activePane="bottomLeft" state="frozen"/>
      <selection pane="bottomLeft" activeCell="K24" sqref="K24"/>
    </sheetView>
  </sheetViews>
  <sheetFormatPr baseColWidth="8" defaultRowHeight="14.4"/>
  <cols>
    <col width="14" customWidth="1" min="1" max="1"/>
    <col width="20" customWidth="1" min="2" max="2"/>
    <col width="14" customWidth="1" min="3" max="6"/>
    <col width="14" customWidth="1" min="4" max="4"/>
    <col width="14" customWidth="1" min="5" max="5"/>
    <col width="14" customWidth="1" min="6" max="6"/>
    <col width="12" customWidth="1" min="7" max="7"/>
    <col width="14" customWidth="1" min="8" max="8"/>
    <col width="15" customWidth="1" min="9" max="9"/>
    <col width="18" customWidth="1" min="10" max="10"/>
    <col width="38" customWidth="1" min="11" max="11"/>
    <col width="18" customWidth="1" min="12" max="12"/>
    <col hidden="1" width="16" customWidth="1" min="13" max="13"/>
    <col width="25" customWidth="1" min="14" max="14"/>
    <col width="22" customWidth="1" min="15" max="15"/>
    <col width="18" customWidth="1" min="16" max="16"/>
    <col width="14" customWidth="1" min="17" max="17"/>
    <col width="15" customWidth="1" min="18" max="18"/>
    <col hidden="1" width="14" customWidth="1" min="19" max="19"/>
    <col hidden="1" width="15" customWidth="1" min="20" max="20"/>
    <col hidden="1" width="12" customWidth="1" min="21" max="21"/>
    <col hidden="1" width="24" customWidth="1" min="22" max="22"/>
    <col hidden="1" width="21" customWidth="1" min="23" max="23"/>
    <col width="14" customWidth="1" min="24" max="24"/>
  </cols>
  <sheetData>
    <row r="1" ht="24" customHeight="1">
      <c r="A1" s="100" t="inlineStr">
        <is>
          <t>symbol</t>
        </is>
      </c>
      <c r="B1" s="100" t="inlineStr">
        <is>
          <t>sector</t>
        </is>
      </c>
      <c r="C1" s="100" t="inlineStr">
        <is>
          <t>platform</t>
        </is>
      </c>
      <c r="D1" s="100" t="inlineStr">
        <is>
          <t>purchase_date</t>
        </is>
      </c>
      <c r="E1" s="100" t="inlineStr">
        <is>
          <t>sell_date</t>
        </is>
      </c>
      <c r="F1" s="100" t="inlineStr">
        <is>
          <t>purchase_price</t>
        </is>
      </c>
      <c r="G1" s="100" t="inlineStr">
        <is>
          <t>quantity</t>
        </is>
      </c>
      <c r="H1" s="100" t="inlineStr">
        <is>
          <t>current_price</t>
        </is>
      </c>
      <c r="I1" s="100" t="inlineStr">
        <is>
          <t>percent_change</t>
        </is>
      </c>
      <c r="J1" s="100" t="inlineStr">
        <is>
          <t>total_profit_loss</t>
        </is>
      </c>
    </row>
    <row r="2">
      <c r="A2" t="inlineStr">
        <is>
          <t>IUIS.L</t>
        </is>
      </c>
      <c r="C2" t="inlineStr">
        <is>
          <t>Trading212</t>
        </is>
      </c>
      <c r="D2" s="9" t="n">
        <v>45623</v>
      </c>
      <c r="E2" s="9" t="n">
        <v>46294</v>
      </c>
      <c r="F2" s="151" t="n">
        <v>11.36</v>
      </c>
      <c r="G2" s="12" t="n">
        <v>11.498102</v>
      </c>
      <c r="H2" s="151" t="n">
        <v>12.739494</v>
      </c>
      <c r="I2" s="10" t="n">
        <v>12.14</v>
      </c>
      <c r="J2" s="152" t="n">
        <v>15.82</v>
      </c>
    </row>
    <row r="3">
      <c r="A3" t="inlineStr">
        <is>
          <t>GMED</t>
        </is>
      </c>
      <c r="B3" t="inlineStr">
        <is>
          <t>Healthcare</t>
        </is>
      </c>
      <c r="C3" t="inlineStr">
        <is>
          <t>Trading212</t>
        </is>
      </c>
      <c r="D3" s="9" t="n">
        <v>45629</v>
      </c>
      <c r="E3" s="9" t="n">
        <v>46294</v>
      </c>
      <c r="F3" s="151" t="n">
        <v>78.91</v>
      </c>
      <c r="G3" s="12" t="n">
        <v>4.808569</v>
      </c>
      <c r="H3" s="151" t="n">
        <v>66.53330800000001</v>
      </c>
      <c r="I3" s="10" t="n">
        <v>-15.68</v>
      </c>
      <c r="J3" s="153" t="n">
        <v>-59.5</v>
      </c>
    </row>
    <row r="4">
      <c r="A4" t="inlineStr">
        <is>
          <t>IESC</t>
        </is>
      </c>
      <c r="B4" t="inlineStr">
        <is>
          <t>Industrials</t>
        </is>
      </c>
      <c r="C4" t="inlineStr">
        <is>
          <t>Capital</t>
        </is>
      </c>
      <c r="D4" s="9" t="n">
        <v>46258</v>
      </c>
      <c r="E4" s="9" t="n">
        <v>46294</v>
      </c>
      <c r="F4" s="151" t="n">
        <v>99.09</v>
      </c>
      <c r="G4" s="12" t="n">
        <v>1</v>
      </c>
      <c r="H4" s="151" t="n">
        <v>285.7</v>
      </c>
      <c r="I4" s="10" t="n">
        <v>188.32</v>
      </c>
      <c r="J4" s="152" t="n">
        <v>360.67</v>
      </c>
    </row>
    <row r="5">
      <c r="A5" t="inlineStr">
        <is>
          <t>GASS</t>
        </is>
      </c>
      <c r="B5" t="inlineStr">
        <is>
          <t>Industrials</t>
        </is>
      </c>
      <c r="C5" t="inlineStr">
        <is>
          <t>Trading212</t>
        </is>
      </c>
      <c r="D5" s="9" t="n">
        <v>45621</v>
      </c>
      <c r="E5" s="9" t="n">
        <v>46141</v>
      </c>
      <c r="F5" s="151" t="n">
        <v>5.61</v>
      </c>
      <c r="G5" s="12" t="n">
        <v>110.45804</v>
      </c>
      <c r="H5" s="151" t="n">
        <v>8.225839000000001</v>
      </c>
      <c r="I5" s="10" t="n">
        <v>46.63</v>
      </c>
      <c r="J5" s="152" t="n">
        <v>288.84</v>
      </c>
    </row>
    <row r="6">
      <c r="A6" t="inlineStr">
        <is>
          <t>CELH</t>
        </is>
      </c>
      <c r="B6" t="inlineStr">
        <is>
          <t>Consumer Defensive</t>
        </is>
      </c>
      <c r="C6" t="inlineStr">
        <is>
          <t>Trading212</t>
        </is>
      </c>
      <c r="D6" s="9" t="n">
        <v>45629</v>
      </c>
      <c r="E6" s="9" t="n">
        <v>46295</v>
      </c>
      <c r="F6" s="151" t="n">
        <v>27.11</v>
      </c>
      <c r="G6" s="12" t="n">
        <v>13.996531</v>
      </c>
      <c r="H6" s="151" t="n">
        <v>24.663254</v>
      </c>
      <c r="I6" s="10" t="n">
        <v>-9.029999999999999</v>
      </c>
      <c r="J6" s="153" t="n">
        <v>-34.23</v>
      </c>
    </row>
    <row r="7">
      <c r="A7" t="inlineStr">
        <is>
          <t>CRDO</t>
        </is>
      </c>
      <c r="B7" t="inlineStr">
        <is>
          <t>Technology</t>
        </is>
      </c>
      <c r="C7" t="inlineStr">
        <is>
          <t>Trading212</t>
        </is>
      </c>
      <c r="D7" s="9" t="n">
        <v>46267</v>
      </c>
      <c r="E7" s="9" t="n">
        <v>46297</v>
      </c>
      <c r="F7" s="151" t="n">
        <v>145.8</v>
      </c>
      <c r="G7" s="12" t="n">
        <v>9.4</v>
      </c>
      <c r="H7" s="151" t="n">
        <v>193.743618</v>
      </c>
      <c r="I7" s="10" t="n">
        <v>32.88</v>
      </c>
      <c r="J7" s="152" t="n">
        <v>450.75</v>
      </c>
    </row>
    <row r="8">
      <c r="A8" t="inlineStr">
        <is>
          <t>NNE</t>
        </is>
      </c>
      <c r="B8" t="inlineStr">
        <is>
          <t>Industrials</t>
        </is>
      </c>
      <c r="C8" t="inlineStr">
        <is>
          <t>Trading212</t>
        </is>
      </c>
      <c r="D8" s="9" t="n">
        <v>45621</v>
      </c>
      <c r="E8" s="9" t="n">
        <v>45915</v>
      </c>
      <c r="F8" s="151" t="n">
        <v>23.74</v>
      </c>
      <c r="G8" s="12" t="n">
        <v>463.862801</v>
      </c>
      <c r="H8" s="151" t="n">
        <v>31.389325</v>
      </c>
      <c r="I8" s="10" t="n">
        <v>32.22</v>
      </c>
      <c r="J8" s="152" t="n">
        <v>1676.78</v>
      </c>
    </row>
    <row r="9">
      <c r="A9" t="inlineStr">
        <is>
          <t>EUROB.GR</t>
        </is>
      </c>
      <c r="B9" t="inlineStr">
        <is>
          <t>Financial Services</t>
        </is>
      </c>
      <c r="C9" t="inlineStr">
        <is>
          <t>Freedom24</t>
        </is>
      </c>
      <c r="D9" s="9" t="n">
        <v>46165</v>
      </c>
      <c r="E9" s="9" t="n">
        <v>46230</v>
      </c>
      <c r="F9" s="151" t="n">
        <v>3.47</v>
      </c>
      <c r="G9" s="12" t="n">
        <v>440</v>
      </c>
      <c r="H9" s="151" t="n">
        <v>3.683545</v>
      </c>
      <c r="I9" s="10" t="n">
        <v>6.15</v>
      </c>
      <c r="J9" s="152" t="n">
        <v>506.99</v>
      </c>
    </row>
    <row r="10">
      <c r="A10" t="inlineStr">
        <is>
          <t>MOH.GR</t>
        </is>
      </c>
      <c r="B10" t="inlineStr">
        <is>
          <t>Energy</t>
        </is>
      </c>
      <c r="C10" t="inlineStr">
        <is>
          <t>Freedom24</t>
        </is>
      </c>
      <c r="D10" s="9" t="n">
        <v>45649</v>
      </c>
      <c r="E10" s="9" t="n">
        <v>46212</v>
      </c>
      <c r="F10" s="151" t="n">
        <v>20.44</v>
      </c>
      <c r="G10" s="12" t="n">
        <v>20</v>
      </c>
      <c r="H10" s="151" t="n">
        <v>43.8</v>
      </c>
      <c r="I10" s="10" t="n">
        <v>114.29</v>
      </c>
      <c r="J10" s="152" t="n">
        <v>463.13</v>
      </c>
    </row>
    <row r="11">
      <c r="A11" t="inlineStr">
        <is>
          <t>PPC.GR</t>
        </is>
      </c>
      <c r="B11" t="inlineStr">
        <is>
          <t>Utilities</t>
        </is>
      </c>
      <c r="C11" t="inlineStr">
        <is>
          <t>Freedom24</t>
        </is>
      </c>
      <c r="D11" s="9" t="n">
        <v>46043</v>
      </c>
      <c r="E11" s="9" t="n">
        <v>46084</v>
      </c>
      <c r="F11" s="151" t="n">
        <v>17.61</v>
      </c>
      <c r="G11" s="12" t="n">
        <v>55</v>
      </c>
      <c r="H11" s="151" t="n">
        <v>16.256364</v>
      </c>
      <c r="I11" s="10" t="n">
        <v>-7.69</v>
      </c>
      <c r="J11" s="152" t="n">
        <v>184.86</v>
      </c>
    </row>
    <row r="12" ht="21" customHeight="1">
      <c r="A12" t="inlineStr">
        <is>
          <t>THEON.EU</t>
        </is>
      </c>
      <c r="B12" t="inlineStr">
        <is>
          <t>Industrials</t>
        </is>
      </c>
      <c r="C12" t="inlineStr">
        <is>
          <t>Freedom24</t>
        </is>
      </c>
      <c r="D12" s="9" t="n">
        <v>46019</v>
      </c>
      <c r="E12" s="9" t="n">
        <v>46248</v>
      </c>
      <c r="F12" s="151" t="n">
        <v>31.33</v>
      </c>
      <c r="G12" s="12" t="n">
        <v>240</v>
      </c>
      <c r="H12" s="151" t="n">
        <v>31.208333</v>
      </c>
      <c r="I12" s="10" t="n">
        <v>-0.39</v>
      </c>
      <c r="J12" s="152" t="n">
        <v>1759.47</v>
      </c>
    </row>
    <row r="13" ht="21" customHeight="1">
      <c r="A13" t="inlineStr">
        <is>
          <t>PTC</t>
        </is>
      </c>
      <c r="B13" t="inlineStr">
        <is>
          <t>Technology</t>
        </is>
      </c>
      <c r="C13" t="inlineStr">
        <is>
          <t>Trading212</t>
        </is>
      </c>
      <c r="D13" s="9" t="n">
        <v>46273</v>
      </c>
      <c r="E13" s="9" t="n">
        <v>46300</v>
      </c>
      <c r="F13" s="151" t="n">
        <v>120.3</v>
      </c>
      <c r="G13" s="12" t="n">
        <v>3.2</v>
      </c>
      <c r="H13" s="151" t="n">
        <v>171.99375</v>
      </c>
      <c r="I13" s="10" t="n">
        <v>42.97</v>
      </c>
      <c r="J13" s="152" t="n">
        <v>165.54</v>
      </c>
    </row>
    <row r="14">
      <c r="A14" t="inlineStr">
        <is>
          <t>SXLI.L</t>
        </is>
      </c>
      <c r="C14" t="inlineStr">
        <is>
          <t>Trading212</t>
        </is>
      </c>
      <c r="D14" s="9" t="n">
        <v>45621</v>
      </c>
      <c r="E14" s="9" t="n">
        <v>46301</v>
      </c>
      <c r="F14" s="151" t="n">
        <v>58.55</v>
      </c>
      <c r="G14" s="12" t="n">
        <v>5.678723</v>
      </c>
      <c r="H14" s="151" t="n">
        <v>66.19446000000001</v>
      </c>
      <c r="I14" s="10" t="n">
        <v>13.06</v>
      </c>
      <c r="J14" s="152" t="n">
        <v>43.4</v>
      </c>
    </row>
    <row r="15">
      <c r="A15" t="inlineStr">
        <is>
          <t>SXR8.DE</t>
        </is>
      </c>
      <c r="C15" t="inlineStr">
        <is>
          <t>Trading212</t>
        </is>
      </c>
      <c r="D15" s="9" t="n">
        <v>45621</v>
      </c>
      <c r="E15" s="9" t="n">
        <v>46302</v>
      </c>
      <c r="F15" s="151" t="n">
        <v>596.48</v>
      </c>
      <c r="G15" s="12" t="n">
        <v>0.828825</v>
      </c>
      <c r="H15" s="151" t="n">
        <v>752</v>
      </c>
      <c r="I15" s="10" t="n">
        <v>26.07</v>
      </c>
      <c r="J15" s="152" t="n">
        <v>128.9</v>
      </c>
    </row>
    <row r="16">
      <c r="A16" t="inlineStr">
        <is>
          <t>APP</t>
        </is>
      </c>
      <c r="B16" t="inlineStr">
        <is>
          <t>Communication Services</t>
        </is>
      </c>
      <c r="C16" t="inlineStr">
        <is>
          <t>Trading212</t>
        </is>
      </c>
      <c r="D16" s="9" t="inlineStr">
        <is>
          <t>2026-10-05</t>
        </is>
      </c>
      <c r="E16" s="9" t="n">
        <v>46303</v>
      </c>
      <c r="F16" s="151" t="n">
        <v>241.84</v>
      </c>
      <c r="G16" s="12" t="n">
        <v>3</v>
      </c>
      <c r="H16" s="151" t="n">
        <v>248.44</v>
      </c>
      <c r="I16" s="10" t="n">
        <v>2.73</v>
      </c>
      <c r="J16" s="152" t="n">
        <v>19.81</v>
      </c>
    </row>
    <row r="18" ht="21" customHeight="1"/>
    <row r="19" ht="21" customHeight="1"/>
    <row r="20" ht="21" customHeight="1"/>
    <row r="21" ht="21" customHeight="1"/>
    <row r="22" ht="21" customHeight="1">
      <c r="B22" s="132" t="inlineStr">
        <is>
          <t>SOLD VALUE</t>
        </is>
      </c>
      <c r="C22" s="133" t="n"/>
      <c r="E22" s="134" t="inlineStr">
        <is>
          <t>SOLD RETURN</t>
        </is>
      </c>
      <c r="F22" s="135" t="n"/>
      <c r="H22" s="136" t="inlineStr">
        <is>
          <t>REALIZED P/L</t>
        </is>
      </c>
      <c r="I22" s="137" t="n"/>
      <c r="K22" s="138" t="inlineStr">
        <is>
          <t>SOLD % RETURN</t>
        </is>
      </c>
      <c r="L22" s="139" t="n"/>
    </row>
    <row r="23" ht="21" customHeight="1">
      <c r="B23" s="154">
        <f>IFERROR(SUMPRODUCT(SoldSummary[quantity],SoldSummary[purchase_price]),0)</f>
        <v/>
      </c>
      <c r="C23" s="133" t="n"/>
      <c r="E23" s="155">
        <f>IFERROR(SUMPRODUCT(SoldSummary[quantity],SoldSummary[current_price]),0)</f>
        <v/>
      </c>
      <c r="F23" s="135" t="n"/>
      <c r="H23" s="156">
        <f>IFERROR(SUM(SoldSummary[total_profit_loss]),0)</f>
        <v/>
      </c>
      <c r="I23" s="137" t="n"/>
      <c r="K23" s="143">
        <f>IFERROR((E23-B23)/B23,0)</f>
        <v/>
      </c>
      <c r="L23" s="139" t="n"/>
    </row>
  </sheetData>
  <mergeCells count="8">
    <mergeCell ref="H22:I22"/>
    <mergeCell ref="B23:C23"/>
    <mergeCell ref="E23:F23"/>
    <mergeCell ref="E22:F22"/>
    <mergeCell ref="B22:C22"/>
    <mergeCell ref="H23:I23"/>
    <mergeCell ref="K23:L23"/>
    <mergeCell ref="K22:L22"/>
  </mergeCells>
  <conditionalFormatting sqref="H23:I23">
    <cfRule type="expression" priority="1" dxfId="7">
      <formula>$H$23&gt;=0</formula>
    </cfRule>
    <cfRule type="expression" priority="2" dxfId="8">
      <formula>$H$23&lt;0</formula>
    </cfRule>
  </conditionalFormatting>
  <conditionalFormatting sqref="K23:L23">
    <cfRule type="expression" priority="3" dxfId="7">
      <formula>$K$23&gt;=0</formula>
    </cfRule>
    <cfRule type="expression" priority="4" dxfId="8">
      <formula>$K$23&lt;0</formula>
    </cfRule>
  </conditionalFormatting>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Y21"/>
  <sheetViews>
    <sheetView showGridLines="0" workbookViewId="0">
      <pane ySplit="1" topLeftCell="A2" activePane="bottomLeft" state="frozen"/>
      <selection pane="bottomLeft" activeCell="A1" sqref="A1"/>
    </sheetView>
  </sheetViews>
  <sheetFormatPr baseColWidth="8" defaultRowHeight="14.4"/>
  <cols>
    <col width="8" customWidth="1" min="1" max="1"/>
    <col width="14" customWidth="1" min="2" max="2"/>
    <col width="34" customWidth="1" min="3" max="3"/>
    <col width="22" customWidth="1" min="4" max="4"/>
    <col width="18" customWidth="1" min="5" max="5"/>
    <col hidden="1" width="10" customWidth="1" min="6" max="6"/>
    <col width="14" customWidth="1" min="7" max="7"/>
    <col hidden="1" width="14" customWidth="1" min="8" max="8"/>
    <col hidden="1" width="23" customWidth="1" min="9" max="9"/>
    <col hidden="1" width="24" customWidth="1" min="10" max="10"/>
    <col hidden="1" width="25" customWidth="1" min="11" max="11"/>
    <col hidden="1" width="22" customWidth="1" min="12" max="12"/>
    <col hidden="1" width="20" customWidth="1" min="13" max="13"/>
    <col hidden="1" width="14" customWidth="1" min="14" max="14"/>
    <col hidden="1" width="15" customWidth="1" min="15" max="15"/>
    <col hidden="1" width="12" customWidth="1" min="16" max="16"/>
    <col hidden="1" width="24" customWidth="1" min="17" max="17"/>
    <col hidden="1" width="21" customWidth="1" min="18" max="18"/>
    <col width="14" customWidth="1" min="19" max="19"/>
    <col hidden="1" width="18" customWidth="1" min="20" max="21"/>
    <col hidden="1" width="34" customWidth="1" min="22" max="22"/>
    <col hidden="1" width="21" customWidth="1" min="23" max="23"/>
    <col width="48" customWidth="1" min="24" max="24"/>
    <col hidden="1" width="70" customWidth="1" min="25" max="25"/>
  </cols>
  <sheetData>
    <row r="1" ht="36" customHeight="1">
      <c r="A1" s="8" t="inlineStr">
        <is>
          <t>rank</t>
        </is>
      </c>
      <c r="B1" s="8" t="inlineStr">
        <is>
          <t>symbol</t>
        </is>
      </c>
      <c r="C1" s="8" t="inlineStr">
        <is>
          <t>name</t>
        </is>
      </c>
      <c r="D1" s="8" t="inlineStr">
        <is>
          <t>sector</t>
        </is>
      </c>
      <c r="E1" s="8" t="inlineStr">
        <is>
          <t>country</t>
        </is>
      </c>
      <c r="F1" s="8" t="inlineStr">
        <is>
          <t>currency</t>
        </is>
      </c>
      <c r="G1" s="8" t="inlineStr">
        <is>
          <t>current_price</t>
        </is>
      </c>
      <c r="H1" s="8" t="inlineStr">
        <is>
          <t>high_52w</t>
        </is>
      </c>
      <c r="I1" s="8" t="inlineStr">
        <is>
          <t>price_25pct_below_high</t>
        </is>
      </c>
      <c r="J1" s="8" t="inlineStr">
        <is>
          <t>drop_from_52w_high_amount</t>
        </is>
      </c>
      <c r="K1" s="8" t="inlineStr">
        <is>
          <t>discount_from_52w_high_pct</t>
        </is>
      </c>
      <c r="L1" s="8" t="inlineStr">
        <is>
          <t>meets_25pct_discount</t>
        </is>
      </c>
      <c r="M1" s="8" t="inlineStr">
        <is>
          <t>already_in_portfolio</t>
        </is>
      </c>
      <c r="N1" s="8" t="inlineStr">
        <is>
          <t>fcf_yield</t>
        </is>
      </c>
      <c r="O1" s="8" t="inlineStr">
        <is>
          <t>fcf_growth</t>
        </is>
      </c>
      <c r="P1" s="8" t="inlineStr">
        <is>
          <t>roic</t>
        </is>
      </c>
      <c r="Q1" s="8" t="inlineStr">
        <is>
          <t>forward_revenue_growth</t>
        </is>
      </c>
      <c r="R1" s="8" t="inlineStr">
        <is>
          <t>forward_eps_growth</t>
        </is>
      </c>
      <c r="S1" s="8" t="inlineStr">
        <is>
          <t>final_score</t>
        </is>
      </c>
      <c r="T1" s="8" t="inlineStr">
        <is>
          <t>market_cap</t>
        </is>
      </c>
      <c r="U1" s="8" t="inlineStr">
        <is>
          <t>validation_status</t>
        </is>
      </c>
      <c r="V1" s="8" t="inlineStr">
        <is>
          <t>validation_source</t>
        </is>
      </c>
      <c r="W1" s="8" t="inlineStr">
        <is>
          <t>researched_at</t>
        </is>
      </c>
      <c r="X1" s="8" t="inlineStr">
        <is>
          <t>source_url</t>
        </is>
      </c>
      <c r="Y1" s="8" t="inlineStr">
        <is>
          <t>dashboard_analysis</t>
        </is>
      </c>
    </row>
    <row r="2" hidden="1" ht="15.6" customHeight="1">
      <c r="A2" s="1" t="n">
        <v>1</v>
      </c>
      <c r="B2" s="1" t="inlineStr">
        <is>
          <t>TEK.L</t>
        </is>
      </c>
      <c r="C2" s="2" t="inlineStr">
        <is>
          <t>Tekcapital plc</t>
        </is>
      </c>
      <c r="D2" s="1" t="inlineStr">
        <is>
          <t>Financial Services</t>
        </is>
      </c>
      <c r="E2" s="1" t="inlineStr">
        <is>
          <t>United Kingdom</t>
        </is>
      </c>
      <c r="F2" s="1" t="inlineStr">
        <is>
          <t>GBp</t>
        </is>
      </c>
      <c r="G2" s="3" t="n">
        <v>2.6</v>
      </c>
      <c r="H2" s="3" t="n">
        <v>13</v>
      </c>
      <c r="I2" s="3" t="n">
        <v>9.75</v>
      </c>
      <c r="J2" s="3" t="n">
        <v>10.4</v>
      </c>
      <c r="K2" s="4" t="n">
        <v>80</v>
      </c>
      <c r="L2" s="1" t="b">
        <v>1</v>
      </c>
      <c r="M2" s="1" t="b">
        <v>0</v>
      </c>
      <c r="N2" s="4" t="n">
        <v>-21.79</v>
      </c>
      <c r="O2" s="4" t="n"/>
      <c r="P2" s="4" t="n">
        <v>-2.91</v>
      </c>
      <c r="Q2" s="4" t="n"/>
      <c r="R2" s="4" t="n"/>
      <c r="S2" s="5" t="n">
        <v>84.86</v>
      </c>
      <c r="T2" s="6" t="n">
        <v>7322197</v>
      </c>
      <c r="U2" s="1" t="inlineStr">
        <is>
          <t>validated</t>
        </is>
      </c>
      <c r="V2" s="2" t="inlineStr">
        <is>
          <t>Yahoo Finance 1Y daily history</t>
        </is>
      </c>
      <c r="W2" s="1" t="inlineStr">
        <is>
          <t>2026-10-03T14:53:09</t>
        </is>
      </c>
      <c r="X2" s="7" t="inlineStr">
        <is>
          <t>https://finance.yahoo.com/quote/TEK.L</t>
        </is>
      </c>
      <c r="Y2" s="2" t="inlineStr">
        <is>
          <t>Η Tekcapital plc έχει Final Score 84.86/100. Το Final Score είναι υψηλό επειδή οι περισσότεροι βασικοί παράγοντες είναι ισχυροί. Χρησιμοποιείται το ειδικό Financial Services μοντέλο: ROE, Price/Book, Profit Margin, Revenue Growth και Forward EPS Growth. Το γενικό FCF/ROIC μοντέλο δεν είναι ο αποφασιστικός μηχανισμός. Θετικοί οδηγοί: ROE 87.63%: ισχυρό θετικό — απόδοση ιδίων κεφαλαίων. Price/Book 0.04: ισχυρό θετικό — αποτίμηση έναντι λογιστικής αξίας. Profit Margin 98.52%: ισχυρό θετικό — κερδοφορία. Δεν υπάρχει διαθέσιμη δεύτερη πηγή fundamentals για ουσιαστική διασταύρωση. Έλεγχος δεδομένων: Δεν εντοπίστηκε anomaly που να απαιτεί ειδική προειδοποίηση. Δεν υπάρχει διαθέσιμη δεύτερη πηγή fundamentals για ουσιαστική διασταύρωση. Δεν βρέθηκαν πρόσφατοι τίτλοι ειδήσεων στο τελευταίο refresh. Η ανάλυση είναι επεξήγηση του μοντέλου και όχι σύσταση αγοράς ή πώλησης.</t>
        </is>
      </c>
    </row>
    <row r="3" hidden="1" ht="15.6" customHeight="1">
      <c r="A3" s="1" t="n">
        <v>2</v>
      </c>
      <c r="B3" s="1" t="inlineStr">
        <is>
          <t>ZZ-B.ST</t>
        </is>
      </c>
      <c r="C3" s="2" t="inlineStr">
        <is>
          <t>Zinzino AB (publ)</t>
        </is>
      </c>
      <c r="D3" s="1" t="inlineStr">
        <is>
          <t>Consumer Defensive</t>
        </is>
      </c>
      <c r="E3" s="1" t="inlineStr">
        <is>
          <t>Sweden</t>
        </is>
      </c>
      <c r="F3" s="1" t="inlineStr">
        <is>
          <t>SEK</t>
        </is>
      </c>
      <c r="G3" s="3" t="n">
        <v>130.6</v>
      </c>
      <c r="H3" s="3" t="n">
        <v>177</v>
      </c>
      <c r="I3" s="3" t="n">
        <v>132.75</v>
      </c>
      <c r="J3" s="3" t="n">
        <v>46.4</v>
      </c>
      <c r="K3" s="4" t="n">
        <v>26.21</v>
      </c>
      <c r="L3" s="1" t="b">
        <v>1</v>
      </c>
      <c r="M3" s="1" t="b">
        <v>0</v>
      </c>
      <c r="N3" s="4" t="n">
        <v>10.3</v>
      </c>
      <c r="O3" s="4" t="n">
        <v>83.28</v>
      </c>
      <c r="P3" s="4" t="n">
        <v>44.34</v>
      </c>
      <c r="Q3" s="4" t="n">
        <v>12.57</v>
      </c>
      <c r="R3" s="4" t="n">
        <v>7.72</v>
      </c>
      <c r="S3" s="5" t="n">
        <v>84</v>
      </c>
      <c r="T3" s="6" t="n">
        <v>5145554432</v>
      </c>
      <c r="U3" s="1" t="inlineStr">
        <is>
          <t>validated</t>
        </is>
      </c>
      <c r="V3" s="2" t="inlineStr">
        <is>
          <t>Yahoo Finance 1Y daily history</t>
        </is>
      </c>
      <c r="W3" s="1" t="inlineStr">
        <is>
          <t>2026-10-03T14:52:51</t>
        </is>
      </c>
      <c r="X3" s="7" t="inlineStr">
        <is>
          <t>https://finance.yahoo.com/quote/ZZ-B.ST</t>
        </is>
      </c>
      <c r="Y3" s="2" t="inlineStr">
        <is>
          <t>Η Zinzino AB (publ) έχει Final Score 84.00/100. Το Final Score είναι υψηλό επειδή οι περισσότεροι βασικοί παράγοντες είναι ισχυροί. Το γενικό μοντέλο αξιολογεί FCF Yield, FCF Growth, ROIC και forward ανάπτυξη. Το Final Score συνδυάζει εσωτερικά σχετική εικόνα έναντι peers και απόλυτη ποιότητα, χωρίς να εμφανίζονται οι δύο επιμέρους βαθμοί. Θετικοί οδηγοί: FCF Yield 10.30%: ισχυρό θετικό — αποτίμηση/παραγωγή ελεύθερων ταμειακών ροών. ROIC 44.34%: ισχυρό θετικό — αποδοτικότητα του επενδεδυμένου κεφαλαίου. FCF Growth 83.28%: ισχυρό θετικό — ρυθμός μεταβολής ελεύθερων ταμειακών ροών. Αδύνατα σημεία/κίνδυνοι: Forward EPS 7.72%: αρνητικό — προσδοκώμενη ανάπτυξη κερδών ανά μετοχή. Δεν υπάρχει διαθέσιμη δεύτερη πηγή fundamentals για ουσιαστική διασταύρωση. Έλεγχος δεδομένων: Δεν εντοπίστηκε anomaly που να απαιτεί ειδική προειδοποίηση. Δεν υπάρχει διαθέσιμη δεύτερη πηγή fundamentals για ουσιαστική διασταύρωση. Δεν βρέθηκαν πρόσφατοι τίτλοι ειδήσεων στο τελευταίο refresh. Η ανάλυση είναι επεξήγηση του μοντέλου και όχι σύσταση αγοράς ή πώλησης.</t>
        </is>
      </c>
    </row>
    <row r="4" hidden="1" ht="15.6" customHeight="1">
      <c r="A4" s="1" t="n">
        <v>3</v>
      </c>
      <c r="B4" s="1" t="inlineStr">
        <is>
          <t>JMT.LS</t>
        </is>
      </c>
      <c r="C4" s="2" t="inlineStr">
        <is>
          <t>Jerónimo Martins, SGPS, S.A.</t>
        </is>
      </c>
      <c r="D4" s="1" t="inlineStr">
        <is>
          <t>Consumer Defensive</t>
        </is>
      </c>
      <c r="E4" s="1" t="inlineStr">
        <is>
          <t>Portugal</t>
        </is>
      </c>
      <c r="F4" s="1" t="inlineStr">
        <is>
          <t>EUR</t>
        </is>
      </c>
      <c r="G4" s="3" t="n">
        <v>16.94</v>
      </c>
      <c r="H4" s="3" t="n">
        <v>22.68</v>
      </c>
      <c r="I4" s="3" t="n">
        <v>17.01</v>
      </c>
      <c r="J4" s="3" t="n">
        <v>5.74</v>
      </c>
      <c r="K4" s="4" t="n">
        <v>25.31</v>
      </c>
      <c r="L4" s="1" t="b">
        <v>1</v>
      </c>
      <c r="M4" s="1" t="b">
        <v>0</v>
      </c>
      <c r="N4" s="4" t="n">
        <v>12.85</v>
      </c>
      <c r="O4" s="4" t="n">
        <v>110.79</v>
      </c>
      <c r="P4" s="4" t="n">
        <v>20.17</v>
      </c>
      <c r="Q4" s="4" t="n">
        <v>5.95</v>
      </c>
      <c r="R4" s="4" t="n">
        <v>10.63</v>
      </c>
      <c r="S4" s="5" t="n">
        <v>81.65000000000001</v>
      </c>
      <c r="T4" s="6" t="n">
        <v>10645676032</v>
      </c>
      <c r="U4" s="1" t="inlineStr">
        <is>
          <t>validated</t>
        </is>
      </c>
      <c r="V4" s="2" t="inlineStr">
        <is>
          <t>Yahoo Finance 1Y daily history</t>
        </is>
      </c>
      <c r="W4" s="1" t="inlineStr">
        <is>
          <t>2026-10-03T14:52:43</t>
        </is>
      </c>
      <c r="X4" s="7" t="inlineStr">
        <is>
          <t>https://finance.yahoo.com/quote/JMT.LS</t>
        </is>
      </c>
      <c r="Y4" s="2" t="inlineStr">
        <is>
          <t>Η Jerónimo Martins, SGPS, S.A. έχει Final Score 81.65/100. Το Final Score είναι υψηλό επειδή οι περισσότεροι βασικοί παράγοντες είναι ισχυροί. Το γενικό μοντέλο αξιολογεί FCF Yield, FCF Growth, ROIC και forward ανάπτυξη. Το Final Score συνδυάζει εσωτερικά σχετική εικόνα έναντι peers και απόλυτη ποιότητα, χωρίς να εμφανίζονται οι δύο επιμέρους βαθμοί. Θετικοί οδηγοί: FCF Yield 12.85%: ισχυρό θετικό — αποτίμηση/παραγωγή ελεύθερων ταμειακών ροών. ROIC 20.17%: ισχυρό θετικό — αποδοτικότητα του επενδεδυμένου κεφαλαίου. FCF Growth 110.79%: ισχυρό θετικό — ρυθμός μεταβολής ελεύθερων ταμειακών ροών. Δεν υπάρχει διαθέσιμη δεύτερη πηγή fundamentals για ουσιαστική διασταύρωση. Έλεγχος δεδομένων: Δεν εντοπίστηκε anomaly που να απαιτεί ειδική προειδοποίηση. Δεν υπάρχει διαθέσιμη δεύτερη πηγή fundamentals για ουσιαστική διασταύρωση. Δεν βρέθηκαν πρόσφατοι τίτλοι ειδήσεων στο τελευταίο refresh. Earnings: 2026-10-28. Η ανάλυση είναι επεξήγηση του μοντέλου και όχι σύσταση αγοράς ή πώλησης.</t>
        </is>
      </c>
    </row>
    <row r="5" ht="15.6" customHeight="1">
      <c r="A5" s="1" t="n">
        <v>4</v>
      </c>
      <c r="B5" s="1" t="inlineStr">
        <is>
          <t>BCRX</t>
        </is>
      </c>
      <c r="C5" s="2" t="inlineStr">
        <is>
          <t>BioCryst Pharmaceuticals, Inc.</t>
        </is>
      </c>
      <c r="D5" s="1" t="inlineStr">
        <is>
          <t>Healthcare</t>
        </is>
      </c>
      <c r="E5" s="1" t="inlineStr">
        <is>
          <t>United States</t>
        </is>
      </c>
      <c r="F5" s="1" t="inlineStr">
        <is>
          <t>USD</t>
        </is>
      </c>
      <c r="G5" s="3" t="n">
        <v>8.17</v>
      </c>
      <c r="H5" s="3" t="n">
        <v>11.22</v>
      </c>
      <c r="I5" s="3" t="n">
        <v>8.414999999999999</v>
      </c>
      <c r="J5" s="3" t="n">
        <v>3.05</v>
      </c>
      <c r="K5" s="4" t="n">
        <v>27.18</v>
      </c>
      <c r="L5" s="1" t="b">
        <v>1</v>
      </c>
      <c r="M5" s="1" t="b">
        <v>0</v>
      </c>
      <c r="N5" s="4" t="n">
        <v>16.52</v>
      </c>
      <c r="O5" s="4" t="n"/>
      <c r="P5" s="4" t="n">
        <v>109.22</v>
      </c>
      <c r="Q5" s="4" t="n">
        <v>4.02</v>
      </c>
      <c r="R5" s="4" t="n">
        <v>26.17</v>
      </c>
      <c r="S5" s="5" t="n">
        <v>79.93000000000001</v>
      </c>
      <c r="T5" s="6" t="n">
        <v>2087721856</v>
      </c>
      <c r="U5" s="1" t="inlineStr">
        <is>
          <t>validated</t>
        </is>
      </c>
      <c r="V5" s="2" t="inlineStr">
        <is>
          <t>Yahoo Finance 1Y daily history</t>
        </is>
      </c>
      <c r="W5" s="1" t="inlineStr">
        <is>
          <t>2026-10-03T14:53:18</t>
        </is>
      </c>
      <c r="X5" s="7" t="inlineStr">
        <is>
          <t>https://finance.yahoo.com/quote/BCRX</t>
        </is>
      </c>
      <c r="Y5" s="2" t="inlineStr">
        <is>
          <t>Η BioCryst Pharmaceuticals, Inc. έχει Final Score 79.93/100. Το Final Score είναι καλό, με περισσότερους θετικούς από αρνητικούς παράγοντες. Το γενικό μοντέλο αξιολογεί FCF Yield, FCF Growth, ROIC και forward ανάπτυξη. Το Final Score συνδυάζει εσωτερικά σχετική εικόνα έναντι peers και απόλυτη ποιότητα, χωρίς να εμφανίζονται οι δύο επιμέρους βαθμοί. Θετικοί οδηγοί: FCF Yield 16.52%: θετικό — αποτίμηση/παραγωγή ελεύθερων ταμειακών ροών. ROIC 109.22%: ισχυρό θετικό — αποδοτικότητα του επενδεδυμένου κεφαλαίου. Forward EPS 26.17%: θετικό — προσδοκώμενη ανάπτυξη κερδών ανά μετοχή. Αδύνατα σημεία/κίνδυνοι: Forward Revenue 4.02%: αρνητικό — προσδοκώμενη ανάπτυξη εσόδων. Ελλιπή πεδία: FCF Growth. Δεύτερη πηγή: SEC EDGAR. Υπάρχουν ανεξάρτητα στοιχεία, αλλά όχι αρκετά ίδια πεδία για αριθμητική σύγκριση. Έλεγχος δεδομένων: Δεν εντοπίστηκε anomaly που να απαιτεί ειδική προειδοποίηση. Δεύτερη πηγή: SEC EDGAR. Υπάρχουν ανεξάρτητα στοιχεία, αλλά όχι αρκετά ίδια πεδία για αριθμητική σύγκριση. Δεν βρέθηκαν πρόσφατοι τίτλοι ειδήσεων στο τελευταίο refresh. Earnings: 2026-11-02. Η ανάλυση είναι επεξήγηση του μοντέλου και όχι σύσταση αγοράς ή πώλησης.</t>
        </is>
      </c>
    </row>
    <row r="6" ht="15.6" customHeight="1">
      <c r="A6" s="1" t="n">
        <v>5</v>
      </c>
      <c r="B6" s="1" t="inlineStr">
        <is>
          <t>UROY</t>
        </is>
      </c>
      <c r="C6" s="2" t="inlineStr">
        <is>
          <t>Uranium Royalty Corp.</t>
        </is>
      </c>
      <c r="D6" s="1" t="inlineStr">
        <is>
          <t>Energy</t>
        </is>
      </c>
      <c r="E6" s="1" t="inlineStr">
        <is>
          <t>United States</t>
        </is>
      </c>
      <c r="F6" s="1" t="inlineStr">
        <is>
          <t>USD</t>
        </is>
      </c>
      <c r="G6" s="3" t="n">
        <v>3.97</v>
      </c>
      <c r="H6" s="3" t="n">
        <v>5.52</v>
      </c>
      <c r="I6" s="3" t="n">
        <v>4.14</v>
      </c>
      <c r="J6" s="3" t="n">
        <v>1.55</v>
      </c>
      <c r="K6" s="4" t="n">
        <v>28.08</v>
      </c>
      <c r="L6" s="1" t="b">
        <v>1</v>
      </c>
      <c r="M6" s="1" t="b">
        <v>0</v>
      </c>
      <c r="N6" s="4" t="n">
        <v>11.75</v>
      </c>
      <c r="O6" s="4" t="n"/>
      <c r="P6" s="4" t="n">
        <v>11.93</v>
      </c>
      <c r="Q6" s="4" t="n"/>
      <c r="R6" s="4" t="n">
        <v>460</v>
      </c>
      <c r="S6" s="5" t="n">
        <v>79.90000000000001</v>
      </c>
      <c r="T6" s="6" t="n">
        <v>1512837248</v>
      </c>
      <c r="U6" s="1" t="inlineStr">
        <is>
          <t>validated</t>
        </is>
      </c>
      <c r="V6" s="2" t="inlineStr">
        <is>
          <t>Yahoo Finance 1Y daily history</t>
        </is>
      </c>
      <c r="W6" s="1" t="inlineStr">
        <is>
          <t>2026-10-03T14:52:45</t>
        </is>
      </c>
      <c r="X6" s="7" t="inlineStr">
        <is>
          <t>https://finance.yahoo.com/quote/UROY</t>
        </is>
      </c>
      <c r="Y6" s="2" t="inlineStr">
        <is>
          <t>Η Uranium Royalty Corp. έχει Final Score 79.90/100. Το Final Score είναι καλό, με περισσότερους θετικούς από αρνητικούς παράγοντες. Το γενικό μοντέλο αξιολογεί FCF Yield, FCF Growth, ROIC και forward ανάπτυξη. Το Final Score συνδυάζει εσωτερικά σχετική εικόνα έναντι peers και απόλυτη ποιότητα, χωρίς να εμφανίζονται οι δύο επιμέρους βαθμοί. Θετικοί οδηγοί: FCF Yield 11.75%: ισχυρό θετικό — αποτίμηση/παραγωγή ελεύθερων ταμειακών ροών. Forward EPS 460.00%: ισχυρό θετικό — προσδοκώμενη ανάπτυξη κερδών ανά μετοχή. Αδύνατα σημεία/κίνδυνοι: Λείπουν δεδομένα για: FCF Growth, Forward Revenue. Ελλιπή πεδία: FCF Growth, Forward Revenue. Δεύτερη πηγή: SEC EDGAR. Υπάρχουν ανεξάρτητα στοιχεία, αλλά όχι αρκετά ίδια πεδία για αριθμητική σύγκριση. Έλεγχος δεδομένων: Ακραία τιμή forward_eps_growth: 460.00%. Δεύτερη πηγή: SEC EDGAR. Υπάρχουν ανεξάρτητα στοιχεία, αλλά όχι αρκετά ίδια πεδία για αριθμητική σύγκριση. Δεν βρέθηκαν πρόσφατοι τίτλοι ειδήσεων στο τελευταίο refresh. Earnings: 2026-12-11. Έλεγχος δεδομένων: Ακραία τιμή forward_eps_growth: 460.00%.. Η ανάλυση είναι επεξήγηση του μοντέλου και όχι σύσταση αγοράς ή πώλησης.</t>
        </is>
      </c>
    </row>
    <row r="7" hidden="1" ht="15.6" customHeight="1">
      <c r="A7" s="1" t="n">
        <v>6</v>
      </c>
      <c r="B7" s="1" t="inlineStr">
        <is>
          <t>WIHL.ST</t>
        </is>
      </c>
      <c r="C7" s="2" t="inlineStr">
        <is>
          <t>Wihlborgs Fastigheter AB (publ)</t>
        </is>
      </c>
      <c r="D7" s="1" t="inlineStr">
        <is>
          <t>Real Estate</t>
        </is>
      </c>
      <c r="E7" s="1" t="inlineStr">
        <is>
          <t>Sweden</t>
        </is>
      </c>
      <c r="F7" s="1" t="inlineStr">
        <is>
          <t>SEK</t>
        </is>
      </c>
      <c r="G7" s="3" t="n">
        <v>68.65000000000001</v>
      </c>
      <c r="H7" s="3" t="n">
        <v>99.25</v>
      </c>
      <c r="I7" s="3" t="n">
        <v>74.4375</v>
      </c>
      <c r="J7" s="3" t="n">
        <v>30.6</v>
      </c>
      <c r="K7" s="4" t="n">
        <v>30.83</v>
      </c>
      <c r="L7" s="1" t="b">
        <v>1</v>
      </c>
      <c r="M7" s="1" t="b">
        <v>0</v>
      </c>
      <c r="N7" s="4" t="n">
        <v>10.32</v>
      </c>
      <c r="O7" s="4" t="n">
        <v>35.01</v>
      </c>
      <c r="P7" s="4" t="n">
        <v>4.02</v>
      </c>
      <c r="Q7" s="4" t="n">
        <v>18.11</v>
      </c>
      <c r="R7" s="4" t="n">
        <v>8.199999999999999</v>
      </c>
      <c r="S7" s="5" t="n">
        <v>78.67</v>
      </c>
      <c r="T7" s="6" t="n">
        <v>21104857088</v>
      </c>
      <c r="U7" s="1" t="inlineStr">
        <is>
          <t>validated</t>
        </is>
      </c>
      <c r="V7" s="2" t="inlineStr">
        <is>
          <t>Yahoo Finance 1Y daily history</t>
        </is>
      </c>
      <c r="W7" s="1" t="inlineStr">
        <is>
          <t>2026-10-03T14:52:40</t>
        </is>
      </c>
      <c r="X7" s="7" t="inlineStr">
        <is>
          <t>https://finance.yahoo.com/quote/WIHL.ST</t>
        </is>
      </c>
      <c r="Y7" s="2" t="inlineStr">
        <is>
          <t>Η Wihlborgs Fastigheter AB (publ) έχει Final Score 78.67/100. Το Final Score είναι καλό, με περισσότερους θετικούς από αρνητικούς παράγοντες. Το γενικό μοντέλο αξιολογεί FCF Yield, FCF Growth, ROIC και forward ανάπτυξη. Το Final Score συνδυάζει εσωτερικά σχετική εικόνα έναντι peers και απόλυτη ποιότητα, χωρίς να εμφανίζονται οι δύο επιμέρους βαθμοί. Θετικοί οδηγοί: FCF Yield 10.32%: ισχυρό θετικό — αποτίμηση/παραγωγή ελεύθερων ταμειακών ροών. ROIC 4.02%: ισχυρό θετικό — αποδοτικότητα του επενδεδυμένου κεφαλαίου. FCF Growth 35.01%: θετικό — ρυθμός μεταβολής ελεύθερων ταμειακών ροών. Δεν υπάρχει διαθέσιμη δεύτερη πηγή fundamentals για ουσιαστική διασταύρωση. Έλεγχος δεδομένων: Δεν εντοπίστηκε anomaly που να απαιτεί ειδική προειδοποίηση. Δεν υπάρχει διαθέσιμη δεύτερη πηγή fundamentals για ουσιαστική διασταύρωση. Δεν βρέθηκαν πρόσφατοι τίτλοι ειδήσεων στο τελευταίο refresh. Earnings: 2026-10-21. Η ανάλυση είναι επεξήγηση του μοντέλου και όχι σύσταση αγοράς ή πώλησης.</t>
        </is>
      </c>
    </row>
    <row r="8" ht="15.6" customHeight="1">
      <c r="A8" s="1" t="n">
        <v>7</v>
      </c>
      <c r="B8" s="1" t="inlineStr">
        <is>
          <t>APP</t>
        </is>
      </c>
      <c r="C8" s="2" t="inlineStr">
        <is>
          <t>AppLovin Corporation</t>
        </is>
      </c>
      <c r="D8" s="1" t="inlineStr">
        <is>
          <t>Communication Services</t>
        </is>
      </c>
      <c r="E8" s="1" t="inlineStr">
        <is>
          <t>United States</t>
        </is>
      </c>
      <c r="F8" s="1" t="inlineStr">
        <is>
          <t>USD</t>
        </is>
      </c>
      <c r="G8" s="3" t="n">
        <v>268.22</v>
      </c>
      <c r="H8" s="3" t="n">
        <v>738.01</v>
      </c>
      <c r="I8" s="3" t="n">
        <v>553.5075000000001</v>
      </c>
      <c r="J8" s="3" t="n">
        <v>469.79</v>
      </c>
      <c r="K8" s="4" t="n">
        <v>63.66</v>
      </c>
      <c r="L8" s="1" t="b">
        <v>1</v>
      </c>
      <c r="M8" s="1" t="b">
        <v>0</v>
      </c>
      <c r="N8" s="4" t="n">
        <v>4.39</v>
      </c>
      <c r="O8" s="4" t="n">
        <v>90.15000000000001</v>
      </c>
      <c r="P8" s="4" t="n">
        <v>63.85</v>
      </c>
      <c r="Q8" s="4" t="n">
        <v>26.56</v>
      </c>
      <c r="R8" s="4" t="n">
        <v>27.72</v>
      </c>
      <c r="S8" s="5" t="n">
        <v>77.90000000000001</v>
      </c>
      <c r="T8" s="6" t="n">
        <v>89759965184</v>
      </c>
      <c r="U8" s="1" t="inlineStr">
        <is>
          <t>validated</t>
        </is>
      </c>
      <c r="V8" s="2" t="inlineStr">
        <is>
          <t>Yahoo Finance 1Y daily history</t>
        </is>
      </c>
      <c r="W8" s="1" t="inlineStr">
        <is>
          <t>2026-10-03T14:52:31</t>
        </is>
      </c>
      <c r="X8" s="7" t="inlineStr">
        <is>
          <t>https://finance.yahoo.com/quote/APP</t>
        </is>
      </c>
      <c r="Y8" s="2" t="inlineStr">
        <is>
          <t>Η AppLovin Corporation έχει Final Score 77.90/100. Το Final Score είναι καλό, με περισσότερους θετικούς από αρνητικούς παράγοντες. Το γενικό μοντέλο αξιολογεί FCF Yield, FCF Growth, ROIC και forward ανάπτυξη. Το Final Score συνδυάζει εσωτερικά σχετική εικόνα έναντι peers και απόλυτη ποιότητα, χωρίς να εμφανίζονται οι δύο επιμέρους βαθμοί. Θετικοί οδηγοί: FCF Yield 4.39%: θετικό — αποτίμηση/παραγωγή ελεύθερων ταμειακών ροών. ROIC 63.85%: ισχυρό θετικό — αποδοτικότητα του επενδεδυμένου κεφαλαίου. FCF Growth 90.15%: θετικό — ρυθμός μεταβολής ελεύθερων ταμειακών ροών. Δεύτερη πηγή: SEC EDGAR. Υπάρχουν ανεξάρτητα στοιχεία, αλλά όχι αρκετά ίδια πεδία για αριθμητική σύγκριση. Έλεγχος δεδομένων: Δεν εντοπίστηκε anomaly που να απαιτεί ειδική προειδοποίηση. Δεύτερη πηγή: SEC EDGAR. Υπάρχουν ανεξάρτητα στοιχεία, αλλά όχι αρκετά ίδια πεδία για αριθμητική σύγκριση. Δεν βρέθηκαν πρόσφατοι τίτλοι ειδήσεων στο τελευταίο refresh. Earnings: 2026-11-04. Η ανάλυση είναι επεξήγηση του μοντέλου και όχι σύσταση αγοράς ή πώλησης.</t>
        </is>
      </c>
    </row>
    <row r="9" hidden="1" ht="15.6" customHeight="1">
      <c r="A9" s="1" t="n">
        <v>8</v>
      </c>
      <c r="B9" s="1" t="inlineStr">
        <is>
          <t>ROVI.MC</t>
        </is>
      </c>
      <c r="C9" s="2" t="inlineStr">
        <is>
          <t>Laboratorios Farmaceuticos Rovi, S.A.</t>
        </is>
      </c>
      <c r="D9" s="1" t="inlineStr">
        <is>
          <t>Healthcare</t>
        </is>
      </c>
      <c r="E9" s="1" t="inlineStr">
        <is>
          <t>Spain</t>
        </is>
      </c>
      <c r="F9" s="1" t="inlineStr">
        <is>
          <t>EUR</t>
        </is>
      </c>
      <c r="G9" s="3" t="n">
        <v>57.4</v>
      </c>
      <c r="H9" s="3" t="n">
        <v>86.7</v>
      </c>
      <c r="I9" s="3" t="n">
        <v>65.02500000000001</v>
      </c>
      <c r="J9" s="3" t="n">
        <v>29.3</v>
      </c>
      <c r="K9" s="4" t="n">
        <v>33.79</v>
      </c>
      <c r="L9" s="1" t="b">
        <v>1</v>
      </c>
      <c r="M9" s="1" t="b">
        <v>0</v>
      </c>
      <c r="N9" s="4" t="n">
        <v>4.06</v>
      </c>
      <c r="O9" s="4" t="n">
        <v>56.81</v>
      </c>
      <c r="P9" s="4" t="n">
        <v>18.47</v>
      </c>
      <c r="Q9" s="4" t="n">
        <v>15.29</v>
      </c>
      <c r="R9" s="4" t="n">
        <v>36.11</v>
      </c>
      <c r="S9" s="5" t="n">
        <v>77.68000000000001</v>
      </c>
      <c r="T9" s="6" t="n">
        <v>2935608320</v>
      </c>
      <c r="U9" s="1" t="inlineStr">
        <is>
          <t>validated</t>
        </is>
      </c>
      <c r="V9" s="2" t="inlineStr">
        <is>
          <t>Yahoo Finance 1Y daily history</t>
        </is>
      </c>
      <c r="W9" s="1" t="inlineStr">
        <is>
          <t>2026-10-03T14:53:00</t>
        </is>
      </c>
      <c r="X9" s="7" t="inlineStr">
        <is>
          <t>https://finance.yahoo.com/quote/ROVI.MC</t>
        </is>
      </c>
      <c r="Y9" s="2" t="inlineStr">
        <is>
          <t>Η Laboratorios Farmaceuticos Rovi, S.A. έχει Final Score 77.68/100. Το Final Score είναι καλό, με περισσότερους θετικούς από αρνητικούς παράγοντες. Το γενικό μοντέλο αξιολογεί FCF Yield, FCF Growth, ROIC και forward ανάπτυξη. Το Final Score συνδυάζει εσωτερικά σχετική εικόνα έναντι peers και απόλυτη ποιότητα, χωρίς να εμφανίζονται οι δύο επιμέρους βαθμοί. Θετικοί οδηγοί: FCF Yield 4.06%: θετικό — αποτίμηση/παραγωγή ελεύθερων ταμειακών ροών. ROIC 18.47%: ισχυρό θετικό — αποδοτικότητα του επενδεδυμένου κεφαλαίου. FCF Growth 56.81%: ισχυρό θετικό — ρυθμός μεταβολής ελεύθερων ταμειακών ροών. Δεν υπάρχει διαθέσιμη δεύτερη πηγή fundamentals για ουσιαστική διασταύρωση. Έλεγχος δεδομένων: Δεν εντοπίστηκε anomaly που να απαιτεί ειδική προειδοποίηση. Δεν υπάρχει διαθέσιμη δεύτερη πηγή fundamentals για ουσιαστική διασταύρωση. Δεν βρέθηκαν πρόσφατοι τίτλοι ειδήσεων στο τελευταίο refresh. Earnings: 2026-11-05. Η ανάλυση είναι επεξήγηση του μοντέλου και όχι σύσταση αγοράς ή πώλησης.</t>
        </is>
      </c>
    </row>
    <row r="10" hidden="1" ht="15.6" customHeight="1">
      <c r="A10" s="1" t="n">
        <v>9</v>
      </c>
      <c r="B10" s="1" t="inlineStr">
        <is>
          <t>RHM.DE</t>
        </is>
      </c>
      <c r="C10" s="2" t="inlineStr">
        <is>
          <t>Rheinmetall AG</t>
        </is>
      </c>
      <c r="D10" s="1" t="inlineStr">
        <is>
          <t>Industrials</t>
        </is>
      </c>
      <c r="E10" s="1" t="inlineStr">
        <is>
          <t>Germany</t>
        </is>
      </c>
      <c r="F10" s="1" t="inlineStr">
        <is>
          <t>EUR</t>
        </is>
      </c>
      <c r="G10" s="3" t="n">
        <v>956.9</v>
      </c>
      <c r="H10" s="3" t="n">
        <v>2008</v>
      </c>
      <c r="I10" s="3" t="n">
        <v>1506</v>
      </c>
      <c r="J10" s="3" t="n">
        <v>1051.1</v>
      </c>
      <c r="K10" s="4" t="n">
        <v>52.35</v>
      </c>
      <c r="L10" s="1" t="b">
        <v>1</v>
      </c>
      <c r="M10" s="1" t="b">
        <v>1</v>
      </c>
      <c r="N10" s="4" t="n">
        <v>3.17</v>
      </c>
      <c r="O10" s="4" t="n">
        <v>43.22</v>
      </c>
      <c r="P10" s="4" t="n">
        <v>21.27</v>
      </c>
      <c r="Q10" s="4" t="n">
        <v>33.55</v>
      </c>
      <c r="R10" s="4" t="n">
        <v>43.59</v>
      </c>
      <c r="S10" s="5" t="n">
        <v>76.84</v>
      </c>
      <c r="T10" s="6" t="n">
        <v>44656672768</v>
      </c>
      <c r="U10" s="1" t="inlineStr">
        <is>
          <t>validated</t>
        </is>
      </c>
      <c r="V10" s="2" t="inlineStr">
        <is>
          <t>Yahoo Finance 1Y daily history</t>
        </is>
      </c>
      <c r="W10" s="1" t="inlineStr">
        <is>
          <t>2026-10-03T14:53:11</t>
        </is>
      </c>
      <c r="X10" s="7" t="inlineStr">
        <is>
          <t>https://finance.yahoo.com/quote/RHM.DE</t>
        </is>
      </c>
      <c r="Y10" s="2" t="inlineStr">
        <is>
          <t>Η Rheinmetall AG έχει Final Score 76.84/100. Το Final Score είναι καλό, με περισσότερους θετικούς από αρνητικούς παράγοντες. Το γενικό μοντέλο αξιολογεί FCF Yield, FCF Growth, ROIC και forward ανάπτυξη. Το Final Score συνδυάζει εσωτερικά σχετική εικόνα έναντι peers και απόλυτη ποιότητα, χωρίς να εμφανίζονται οι δύο επιμέρους βαθμοί. Θετικοί οδηγοί: ROIC 21.27%: ισχυρό θετικό — αποδοτικότητα του επενδεδυμένου κεφαλαίου. FCF Growth 43.22%: ισχυρό θετικό — ρυθμός μεταβολής ελεύθερων ταμειακών ροών. Forward Revenue 33.55%: ισχυρό θετικό — προσδοκώμενη ανάπτυξη εσόδων. Δεν υπάρχει διαθέσιμη δεύτερη πηγή fundamentals για ουσιαστική διασταύρωση. Έλεγχος δεδομένων: Δεν εντοπίστηκε anomaly που να απαιτεί ειδική προειδοποίηση. Δεν υπάρχει διαθέσιμη δεύτερη πηγή fundamentals για ουσιαστική διασταύρωση. Δεν βρέθηκαν πρόσφατοι τίτλοι ειδήσεων στο τελευταίο refresh. Earnings: 2026-11-05. Η ανάλυση είναι επεξήγηση του μοντέλου και όχι σύσταση αγοράς ή πώλησης.</t>
        </is>
      </c>
    </row>
    <row r="11" ht="15.6" customHeight="1">
      <c r="A11" s="1" t="n">
        <v>10</v>
      </c>
      <c r="B11" s="1" t="inlineStr">
        <is>
          <t>CDE</t>
        </is>
      </c>
      <c r="C11" s="2" t="inlineStr">
        <is>
          <t>Coeur Mining, Inc.</t>
        </is>
      </c>
      <c r="D11" s="1" t="inlineStr">
        <is>
          <t>Basic Materials</t>
        </is>
      </c>
      <c r="E11" s="1" t="inlineStr">
        <is>
          <t>United States</t>
        </is>
      </c>
      <c r="F11" s="1" t="inlineStr">
        <is>
          <t>USD</t>
        </is>
      </c>
      <c r="G11" s="3" t="n">
        <v>17.66</v>
      </c>
      <c r="H11" s="3" t="n">
        <v>27.77</v>
      </c>
      <c r="I11" s="3" t="n">
        <v>20.8275</v>
      </c>
      <c r="J11" s="3" t="n">
        <v>10.11</v>
      </c>
      <c r="K11" s="4" t="n">
        <v>36.41</v>
      </c>
      <c r="L11" s="1" t="b">
        <v>1</v>
      </c>
      <c r="M11" s="1" t="b">
        <v>0</v>
      </c>
      <c r="N11" s="4" t="n">
        <v>3.67</v>
      </c>
      <c r="O11" s="4" t="n"/>
      <c r="P11" s="4" t="n">
        <v>18.5</v>
      </c>
      <c r="Q11" s="4" t="n">
        <v>25.56</v>
      </c>
      <c r="R11" s="4" t="n">
        <v>55.8</v>
      </c>
      <c r="S11" s="5" t="n">
        <v>75.70999999999999</v>
      </c>
      <c r="T11" s="6" t="n">
        <v>18153330688</v>
      </c>
      <c r="U11" s="1" t="inlineStr">
        <is>
          <t>validated</t>
        </is>
      </c>
      <c r="V11" s="2" t="inlineStr">
        <is>
          <t>Yahoo Finance 1Y daily history</t>
        </is>
      </c>
      <c r="W11" s="1" t="inlineStr">
        <is>
          <t>2026-10-03T14:52:29</t>
        </is>
      </c>
      <c r="X11" s="7" t="inlineStr">
        <is>
          <t>https://finance.yahoo.com/quote/CDE</t>
        </is>
      </c>
      <c r="Y11" s="2" t="inlineStr">
        <is>
          <t>Η Coeur Mining, Inc. έχει Final Score 75.71/100. Το Final Score είναι καλό, με περισσότερους θετικούς από αρνητικούς παράγοντες. Το γενικό μοντέλο αξιολογεί FCF Yield, FCF Growth, ROIC και forward ανάπτυξη. Το Final Score συνδυάζει εσωτερικά σχετική εικόνα έναντι peers και απόλυτη ποιότητα, χωρίς να εμφανίζονται οι δύο επιμέρους βαθμοί. Θετικοί οδηγοί: FCF Yield 3.67%: θετικό — αποτίμηση/παραγωγή ελεύθερων ταμειακών ροών. ROIC 18.50%: ισχυρό θετικό — αποδοτικότητα του επενδεδυμένου κεφαλαίου. Forward Revenue 25.56%: ισχυρό θετικό — προσδοκώμενη ανάπτυξη εσόδων. Αδύνατα σημεία/κίνδυνοι: Λείπουν δεδομένα για: FCF Growth. Ελλιπή πεδία: FCF Growth. Δεύτερη πηγή: SEC EDGAR. Υπάρχουν ανεξάρτητα στοιχεία, αλλά όχι αρκετά ίδια πεδία για αριθμητική σύγκριση. Έλεγχος δεδομένων: Δεν εντοπίστηκε anomaly που να απαιτεί ειδική προειδοποίηση. Δεύτερη πηγή: SEC EDGAR. Υπάρχουν ανεξάρτητα στοιχεία, αλλά όχι αρκετά ίδια πεδία για αριθμητική σύγκριση. Δεν βρέθηκαν πρόσφατοι τίτλοι ειδήσεων στο τελευταίο refresh. Earnings: 2026-10-28. Η ανάλυση είναι επεξήγηση του μοντέλου και όχι σύσταση αγοράς ή πώλησης.</t>
        </is>
      </c>
    </row>
    <row r="12" ht="15.6" customHeight="1">
      <c r="A12" s="1" t="n">
        <v>11</v>
      </c>
      <c r="B12" s="1" t="inlineStr">
        <is>
          <t>RDDT</t>
        </is>
      </c>
      <c r="C12" s="2" t="inlineStr">
        <is>
          <t>Reddit, Inc.</t>
        </is>
      </c>
      <c r="D12" s="1" t="inlineStr">
        <is>
          <t>Communication Services</t>
        </is>
      </c>
      <c r="E12" s="1" t="inlineStr">
        <is>
          <t>United States</t>
        </is>
      </c>
      <c r="F12" s="1" t="inlineStr">
        <is>
          <t>USD</t>
        </is>
      </c>
      <c r="G12" s="3" t="n">
        <v>147.86</v>
      </c>
      <c r="H12" s="3" t="n">
        <v>263.5</v>
      </c>
      <c r="I12" s="3" t="n">
        <v>197.625</v>
      </c>
      <c r="J12" s="3" t="n">
        <v>115.64</v>
      </c>
      <c r="K12" s="4" t="n">
        <v>43.89</v>
      </c>
      <c r="L12" s="1" t="b">
        <v>1</v>
      </c>
      <c r="M12" s="1" t="b">
        <v>0</v>
      </c>
      <c r="N12" s="4" t="n">
        <v>2.41</v>
      </c>
      <c r="O12" s="4" t="n">
        <v>217.01</v>
      </c>
      <c r="P12" s="4" t="n">
        <v>15.09</v>
      </c>
      <c r="Q12" s="4" t="n">
        <v>31.81</v>
      </c>
      <c r="R12" s="4" t="n">
        <v>31.42</v>
      </c>
      <c r="S12" s="5" t="n">
        <v>74.95</v>
      </c>
      <c r="T12" s="6" t="n">
        <v>28447748096</v>
      </c>
      <c r="U12" s="1" t="inlineStr">
        <is>
          <t>validated</t>
        </is>
      </c>
      <c r="V12" s="2" t="inlineStr">
        <is>
          <t>Yahoo Finance 1Y daily history</t>
        </is>
      </c>
      <c r="W12" s="1" t="inlineStr">
        <is>
          <t>2026-10-03T14:52:29</t>
        </is>
      </c>
      <c r="X12" s="7" t="inlineStr">
        <is>
          <t>https://finance.yahoo.com/quote/RDDT</t>
        </is>
      </c>
      <c r="Y12" s="2" t="inlineStr">
        <is>
          <t>Η Reddit, Inc. έχει Final Score 74.95/100. Το Final Score είναι καλό, με περισσότερους θετικούς από αρνητικούς παράγοντες. Το γενικό μοντέλο αξιολογεί FCF Yield, FCF Growth, ROIC και forward ανάπτυξη. Το Final Score συνδυάζει εσωτερικά σχετική εικόνα έναντι peers και απόλυτη ποιότητα, χωρίς να εμφανίζονται οι δύο επιμέρους βαθμοί. Θετικοί οδηγοί: ROIC 15.09%: ισχυρό θετικό — αποδοτικότητα του επενδεδυμένου κεφαλαίου. FCF Growth 217.01%: ισχυρό θετικό — ρυθμός μεταβολής ελεύθερων ταμειακών ροών. Forward Revenue 31.81%: ισχυρό θετικό — προσδοκώμενη ανάπτυξη εσόδων. Αδύνατα σημεία/κίνδυνοι: FCF Yield 2.41%: αρνητικό — αποτίμηση/παραγωγή ελεύθερων ταμειακών ροών. Δεύτερη πηγή: SEC EDGAR. Υπάρχουν ανεξάρτητα στοιχεία, αλλά όχι αρκετά ίδια πεδία για αριθμητική σύγκριση. Έλεγχος δεδομένων: Δεν εντοπίστηκε anomaly που να απαιτεί ειδική προειδοποίηση. Δεύτερη πηγή: SEC EDGAR. Υπάρχουν ανεξάρτητα στοιχεία, αλλά όχι αρκετά ίδια πεδία για αριθμητική σύγκριση. Δεν βρέθηκαν πρόσφατοι τίτλοι ειδήσεων στο τελευταίο refresh. Earnings: 2026-10-29. Η ανάλυση είναι επεξήγηση του μοντέλου και όχι σύσταση αγοράς ή πώλησης.</t>
        </is>
      </c>
    </row>
    <row r="13" ht="15.6" customHeight="1">
      <c r="A13" s="1" t="n">
        <v>12</v>
      </c>
      <c r="B13" s="1" t="inlineStr">
        <is>
          <t>SNDK</t>
        </is>
      </c>
      <c r="C13" s="2" t="inlineStr">
        <is>
          <t>Sandisk Corporation</t>
        </is>
      </c>
      <c r="D13" s="1" t="inlineStr">
        <is>
          <t>Technology</t>
        </is>
      </c>
      <c r="E13" s="1" t="inlineStr">
        <is>
          <t>United States</t>
        </is>
      </c>
      <c r="F13" s="1" t="inlineStr">
        <is>
          <t>USD</t>
        </is>
      </c>
      <c r="G13" s="3" t="n">
        <v>1719.99</v>
      </c>
      <c r="H13" s="3" t="n">
        <v>2354.3899</v>
      </c>
      <c r="I13" s="3" t="n">
        <v>1765.7924</v>
      </c>
      <c r="J13" s="3" t="n">
        <v>634.3999</v>
      </c>
      <c r="K13" s="4" t="n">
        <v>26.95</v>
      </c>
      <c r="L13" s="1" t="b">
        <v>1</v>
      </c>
      <c r="M13" s="1" t="b">
        <v>0</v>
      </c>
      <c r="N13" s="4" t="n">
        <v>4.56</v>
      </c>
      <c r="O13" s="4" t="n"/>
      <c r="P13" s="4" t="n">
        <v>69.59</v>
      </c>
      <c r="Q13" s="4" t="n">
        <v>18.28</v>
      </c>
      <c r="R13" s="4" t="n">
        <v>23.18</v>
      </c>
      <c r="S13" s="5" t="n">
        <v>74.52</v>
      </c>
      <c r="T13" s="6" t="n">
        <v>251839234048</v>
      </c>
      <c r="U13" s="1" t="inlineStr">
        <is>
          <t>validated</t>
        </is>
      </c>
      <c r="V13" s="2" t="inlineStr">
        <is>
          <t>Yahoo Finance 1Y daily history</t>
        </is>
      </c>
      <c r="W13" s="1" t="inlineStr">
        <is>
          <t>2026-10-03T14:52:18</t>
        </is>
      </c>
      <c r="X13" s="7" t="inlineStr">
        <is>
          <t>https://finance.yahoo.com/quote/SNDK</t>
        </is>
      </c>
      <c r="Y13" s="2" t="inlineStr">
        <is>
          <t>Η Sandisk Corporation έχει Final Score 74.52/100. Το Final Score είναι καλό, με περισσότερους θετικούς από αρνητικούς παράγοντες. Το γενικό μοντέλο αξιολογεί FCF Yield, FCF Growth, ROIC και forward ανάπτυξη. Το Final Score συνδυάζει εσωτερικά σχετική εικόνα έναντι peers και απόλυτη ποιότητα, χωρίς να εμφανίζονται οι δύο επιμέρους βαθμοί. Θετικοί οδηγοί: FCF Yield 4.56%: ισχυρό θετικό — αποτίμηση/παραγωγή ελεύθερων ταμειακών ροών. ROIC 69.59%: ισχυρό θετικό — αποδοτικότητα του επενδεδυμένου κεφαλαίου. Αδύνατα σημεία/κίνδυνοι: Forward Revenue 18.28%: αρνητικό — προσδοκώμενη ανάπτυξη εσόδων. Ελλιπή πεδία: FCF Growth. Δεύτερη πηγή: SEC EDGAR. Υπάρχουν ανεξάρτητα στοιχεία, αλλά όχι αρκετά ίδια πεδία για αριθμητική σύγκριση. Έλεγχος δεδομένων: Δεν εντοπίστηκε anomaly που να απαιτεί ειδική προειδοποίηση. Δεύτερη πηγή: SEC EDGAR. Υπάρχουν ανεξάρτητα στοιχεία, αλλά όχι αρκετά ίδια πεδία για αριθμητική σύγκριση. Δεν βρέθηκαν πρόσφατοι τίτλοι ειδήσεων στο τελευταίο refresh. Earnings: 2026-10-29. Η ανάλυση είναι επεξήγηση του μοντέλου και όχι σύσταση αγοράς ή πώλησης.</t>
        </is>
      </c>
    </row>
    <row r="14" ht="15.6" customHeight="1">
      <c r="A14" s="1" t="n">
        <v>13</v>
      </c>
      <c r="B14" s="1" t="inlineStr">
        <is>
          <t>AU</t>
        </is>
      </c>
      <c r="C14" s="2" t="inlineStr">
        <is>
          <t>AngloGold Ashanti plc</t>
        </is>
      </c>
      <c r="D14" s="1" t="inlineStr">
        <is>
          <t>Basic Materials</t>
        </is>
      </c>
      <c r="E14" s="1" t="inlineStr">
        <is>
          <t>United States</t>
        </is>
      </c>
      <c r="F14" s="1" t="inlineStr">
        <is>
          <t>USD</t>
        </is>
      </c>
      <c r="G14" s="3" t="n">
        <v>94.92</v>
      </c>
      <c r="H14" s="3" t="n">
        <v>129.14</v>
      </c>
      <c r="I14" s="3" t="n">
        <v>96.855</v>
      </c>
      <c r="J14" s="3" t="n">
        <v>34.22</v>
      </c>
      <c r="K14" s="4" t="n">
        <v>26.5</v>
      </c>
      <c r="L14" s="1" t="b">
        <v>1</v>
      </c>
      <c r="M14" s="1" t="b">
        <v>0</v>
      </c>
      <c r="N14" s="4" t="n">
        <v>6.95</v>
      </c>
      <c r="O14" s="4" t="n">
        <v>279.84</v>
      </c>
      <c r="P14" s="4" t="n">
        <v>31.2</v>
      </c>
      <c r="Q14" s="4" t="n">
        <v>8.33</v>
      </c>
      <c r="R14" s="4" t="n">
        <v>16.99</v>
      </c>
      <c r="S14" s="5" t="n">
        <v>73.39</v>
      </c>
      <c r="T14" s="6" t="n">
        <v>48007614464</v>
      </c>
      <c r="U14" s="1" t="inlineStr">
        <is>
          <t>validated</t>
        </is>
      </c>
      <c r="V14" s="2" t="inlineStr">
        <is>
          <t>Yahoo Finance 1Y daily history</t>
        </is>
      </c>
      <c r="W14" s="1" t="inlineStr">
        <is>
          <t>2026-10-03T14:52:29</t>
        </is>
      </c>
      <c r="X14" s="7" t="inlineStr">
        <is>
          <t>https://finance.yahoo.com/quote/AU</t>
        </is>
      </c>
      <c r="Y14" s="2" t="inlineStr">
        <is>
          <t>Η AngloGold Ashanti plc έχει Final Score 73.39/100. Το Final Score είναι καλό, με περισσότερους θετικούς από αρνητικούς παράγοντες. Το γενικό μοντέλο αξιολογεί FCF Yield, FCF Growth, ROIC και forward ανάπτυξη. Το Final Score συνδυάζει εσωτερικά σχετική εικόνα έναντι peers και απόλυτη ποιότητα, χωρίς να εμφανίζονται οι δύο επιμέρους βαθμοί. Θετικοί οδηγοί: FCF Yield 6.95%: ισχυρό θετικό — αποτίμηση/παραγωγή ελεύθερων ταμειακών ροών. ROIC 31.20%: ισχυρό θετικό — αποδοτικότητα του επενδεδυμένου κεφαλαίου. FCF Growth 279.84%: θετικό — ρυθμός μεταβολής ελεύθερων ταμειακών ροών. Αδύνατα σημεία/κίνδυνοι: Forward Revenue 8.33%: ισχυρό αρνητικό — προσδοκώμενη ανάπτυξη εσόδων. Forward EPS 16.99%: ισχυρό αρνητικό — προσδοκώμενη ανάπτυξη κερδών ανά μετοχή. Δεύτερη πηγή: SEC EDGAR. Υπάρχουν ανεξάρτητα στοιχεία, αλλά όχι αρκετά ίδια πεδία για αριθμητική σύγκριση. Έλεγχος δεδομένων: Δεν εντοπίστηκε anomaly που να απαιτεί ειδική προειδοποίηση. Δεύτερη πηγή: SEC EDGAR. Υπάρχουν ανεξάρτητα στοιχεία, αλλά όχι αρκετά ίδια πεδία για αριθμητική σύγκριση. Δεν βρέθηκαν πρόσφατοι τίτλοι ειδήσεων στο τελευταίο refresh. Earnings: 2026-11-05. Η ανάλυση είναι επεξήγηση του μοντέλου και όχι σύσταση αγοράς ή πώλησης.</t>
        </is>
      </c>
    </row>
    <row r="15" ht="15.6" customHeight="1">
      <c r="A15" s="1" t="n">
        <v>14</v>
      </c>
      <c r="B15" s="1" t="inlineStr">
        <is>
          <t>ALNY</t>
        </is>
      </c>
      <c r="C15" s="2" t="inlineStr">
        <is>
          <t>Alnylam Pharmaceuticals, Inc.</t>
        </is>
      </c>
      <c r="D15" s="1" t="inlineStr">
        <is>
          <t>Healthcare</t>
        </is>
      </c>
      <c r="E15" s="1" t="inlineStr">
        <is>
          <t>United States</t>
        </is>
      </c>
      <c r="F15" s="1" t="inlineStr">
        <is>
          <t>USD</t>
        </is>
      </c>
      <c r="G15" s="3" t="n">
        <v>219.72</v>
      </c>
      <c r="H15" s="3" t="n">
        <v>495.55</v>
      </c>
      <c r="I15" s="3" t="n">
        <v>371.6625</v>
      </c>
      <c r="J15" s="3" t="n">
        <v>275.83</v>
      </c>
      <c r="K15" s="4" t="n">
        <v>55.66</v>
      </c>
      <c r="L15" s="1" t="b">
        <v>1</v>
      </c>
      <c r="M15" s="1" t="b">
        <v>0</v>
      </c>
      <c r="N15" s="4" t="n">
        <v>1.58</v>
      </c>
      <c r="O15" s="4" t="n"/>
      <c r="P15" s="4" t="n">
        <v>27.1</v>
      </c>
      <c r="Q15" s="4" t="n">
        <v>26.68</v>
      </c>
      <c r="R15" s="4" t="n">
        <v>40.62</v>
      </c>
      <c r="S15" s="5" t="n">
        <v>73.3</v>
      </c>
      <c r="T15" s="6" t="n">
        <v>29400539136</v>
      </c>
      <c r="U15" s="1" t="inlineStr">
        <is>
          <t>validated</t>
        </is>
      </c>
      <c r="V15" s="2" t="inlineStr">
        <is>
          <t>Yahoo Finance 1Y daily history</t>
        </is>
      </c>
      <c r="W15" s="1" t="inlineStr">
        <is>
          <t>2026-10-03T14:52:37</t>
        </is>
      </c>
      <c r="X15" s="7" t="inlineStr">
        <is>
          <t>https://finance.yahoo.com/quote/ALNY</t>
        </is>
      </c>
      <c r="Y15" s="2" t="inlineStr">
        <is>
          <t>Η Alnylam Pharmaceuticals, Inc. έχει Final Score 73.30/100. Το Final Score είναι καλό, με περισσότερους θετικούς από αρνητικούς παράγοντες. Το γενικό μοντέλο αξιολογεί FCF Yield, FCF Growth, ROIC και forward ανάπτυξη. Το Final Score συνδυάζει εσωτερικά σχετική εικόνα έναντι peers και απόλυτη ποιότητα, χωρίς να εμφανίζονται οι δύο επιμέρους βαθμοί. Θετικοί οδηγοί: FCF Yield 1.58%: θετικό — αποτίμηση/παραγωγή ελεύθερων ταμειακών ροών. ROIC 27.10%: ισχυρό θετικό — αποδοτικότητα του επενδεδυμένου κεφαλαίου. Forward Revenue 26.68%: ισχυρό θετικό — προσδοκώμενη ανάπτυξη εσόδων. Αδύνατα σημεία/κίνδυνοι: Λείπουν δεδομένα για: FCF Growth. Ελλιπή πεδία: FCF Growth. Δεύτερη πηγή: SEC EDGAR. Υπάρχουν ανεξάρτητα στοιχεία, αλλά όχι αρκετά ίδια πεδία για αριθμητική σύγκριση. Έλεγχος δεδομένων: Δεν εντοπίστηκε anomaly που να απαιτεί ειδική προειδοποίηση. Δεύτερη πηγή: SEC EDGAR. Υπάρχουν ανεξάρτητα στοιχεία, αλλά όχι αρκετά ίδια πεδία για αριθμητική σύγκριση. Δεν βρέθηκαν πρόσφατοι τίτλοι ειδήσεων στο τελευταίο refresh. Earnings: 2026-10-29. Η ανάλυση είναι επεξήγηση του μοντέλου και όχι σύσταση αγοράς ή πώλησης.</t>
        </is>
      </c>
    </row>
    <row r="16" hidden="1" ht="15.6" customHeight="1">
      <c r="A16" s="1" t="n">
        <v>15</v>
      </c>
      <c r="B16" s="1" t="inlineStr">
        <is>
          <t>LOGI-B.ST</t>
        </is>
      </c>
      <c r="C16" s="2" t="inlineStr">
        <is>
          <t>Logistea AB (publ)</t>
        </is>
      </c>
      <c r="D16" s="1" t="inlineStr">
        <is>
          <t>Real Estate</t>
        </is>
      </c>
      <c r="E16" s="1" t="inlineStr">
        <is>
          <t>Sweden</t>
        </is>
      </c>
      <c r="F16" s="1" t="inlineStr">
        <is>
          <t>SEK</t>
        </is>
      </c>
      <c r="G16" s="3" t="n">
        <v>12.22</v>
      </c>
      <c r="H16" s="3" t="n">
        <v>16.3</v>
      </c>
      <c r="I16" s="3" t="n">
        <v>12.225</v>
      </c>
      <c r="J16" s="3" t="n">
        <v>4.08</v>
      </c>
      <c r="K16" s="4" t="n">
        <v>25.03</v>
      </c>
      <c r="L16" s="1" t="b">
        <v>1</v>
      </c>
      <c r="M16" s="1" t="b">
        <v>0</v>
      </c>
      <c r="N16" s="4" t="n">
        <v>7.23</v>
      </c>
      <c r="O16" s="4" t="n">
        <v>111.74</v>
      </c>
      <c r="P16" s="4" t="n">
        <v>4.16</v>
      </c>
      <c r="Q16" s="4" t="n">
        <v>5.54</v>
      </c>
      <c r="R16" s="4" t="n">
        <v>8.4</v>
      </c>
      <c r="S16" s="5" t="n">
        <v>73.28</v>
      </c>
      <c r="T16" s="6" t="n">
        <v>6241974784</v>
      </c>
      <c r="U16" s="1" t="inlineStr">
        <is>
          <t>validated</t>
        </is>
      </c>
      <c r="V16" s="2" t="inlineStr">
        <is>
          <t>Yahoo Finance 1Y daily history</t>
        </is>
      </c>
      <c r="W16" s="1" t="inlineStr">
        <is>
          <t>2026-10-03T14:52:48</t>
        </is>
      </c>
      <c r="X16" s="7" t="inlineStr">
        <is>
          <t>https://finance.yahoo.com/quote/LOGI-B.ST</t>
        </is>
      </c>
      <c r="Y16" s="2" t="inlineStr">
        <is>
          <t>Η Logistea AB (publ) έχει Final Score 73.28/100. Το Final Score είναι καλό, με περισσότερους θετικούς από αρνητικούς παράγοντες. Το γενικό μοντέλο αξιολογεί FCF Yield, FCF Growth, ROIC και forward ανάπτυξη. Το Final Score συνδυάζει εσωτερικά σχετική εικόνα έναντι peers και απόλυτη ποιότητα, χωρίς να εμφανίζονται οι δύο επιμέρους βαθμοί. Θετικοί οδηγοί: FCF Yield 7.23%: θετικό — αποτίμηση/παραγωγή ελεύθερων ταμειακών ροών. ROIC 4.16%: ισχυρό θετικό — αποδοτικότητα του επενδεδυμένου κεφαλαίου. FCF Growth 111.74%: ισχυρό θετικό — ρυθμός μεταβολής ελεύθερων ταμειακών ροών. Δεν υπάρχει διαθέσιμη δεύτερη πηγή fundamentals για ουσιαστική διασταύρωση. Έλεγχος δεδομένων: Δεν εντοπίστηκε anomaly που να απαιτεί ειδική προειδοποίηση. Δεν υπάρχει διαθέσιμη δεύτερη πηγή fundamentals για ουσιαστική διασταύρωση. Δεν βρέθηκαν πρόσφατοι τίτλοι ειδήσεων στο τελευταίο refresh. Earnings: 2026-10-22. Η ανάλυση είναι επεξήγηση του μοντέλου και όχι σύσταση αγοράς ή πώλησης.</t>
        </is>
      </c>
    </row>
    <row r="17" ht="15.6" customHeight="1">
      <c r="A17" s="1" t="n">
        <v>16</v>
      </c>
      <c r="B17" s="1" t="inlineStr">
        <is>
          <t>CELH</t>
        </is>
      </c>
      <c r="C17" s="2" t="inlineStr">
        <is>
          <t>Celsius Holdings, Inc.</t>
        </is>
      </c>
      <c r="D17" s="1" t="inlineStr">
        <is>
          <t>Consumer Defensive</t>
        </is>
      </c>
      <c r="E17" s="1" t="inlineStr">
        <is>
          <t>United States</t>
        </is>
      </c>
      <c r="F17" s="1" t="inlineStr">
        <is>
          <t>USD</t>
        </is>
      </c>
      <c r="G17" s="3" t="n">
        <v>26.75</v>
      </c>
      <c r="H17" s="3" t="n">
        <v>66.73999999999999</v>
      </c>
      <c r="I17" s="3" t="n">
        <v>50.055</v>
      </c>
      <c r="J17" s="3" t="n">
        <v>39.99</v>
      </c>
      <c r="K17" s="4" t="n">
        <v>59.92</v>
      </c>
      <c r="L17" s="1" t="b">
        <v>1</v>
      </c>
      <c r="M17" s="1" t="b">
        <v>0</v>
      </c>
      <c r="N17" s="4" t="n">
        <v>4.78</v>
      </c>
      <c r="O17" s="4" t="n">
        <v>35.02</v>
      </c>
      <c r="P17" s="4" t="n">
        <v>21.86</v>
      </c>
      <c r="Q17" s="4" t="n">
        <v>8.51</v>
      </c>
      <c r="R17" s="4" t="n">
        <v>20.91</v>
      </c>
      <c r="S17" s="5" t="n">
        <v>72.34999999999999</v>
      </c>
      <c r="T17" s="6" t="n">
        <v>6768687104</v>
      </c>
      <c r="U17" s="1" t="inlineStr">
        <is>
          <t>validated</t>
        </is>
      </c>
      <c r="V17" s="2" t="inlineStr">
        <is>
          <t>Yahoo Finance 1Y daily history</t>
        </is>
      </c>
      <c r="W17" s="1" t="inlineStr">
        <is>
          <t>2026-10-03T14:53:02</t>
        </is>
      </c>
      <c r="X17" s="7" t="inlineStr">
        <is>
          <t>https://finance.yahoo.com/quote/CELH</t>
        </is>
      </c>
      <c r="Y17" s="2" t="inlineStr">
        <is>
          <t>Η Celsius Holdings, Inc. έχει Final Score 72.35/100. Το Final Score είναι καλό, με περισσότερους θετικούς από αρνητικούς παράγοντες. Το γενικό μοντέλο αξιολογεί FCF Yield, FCF Growth, ROIC και forward ανάπτυξη. Το Final Score συνδυάζει εσωτερικά σχετική εικόνα έναντι peers και απόλυτη ποιότητα, χωρίς να εμφανίζονται οι δύο επιμέρους βαθμοί. Θετικοί οδηγοί: ROIC 21.86%: ισχυρό θετικό — αποδοτικότητα του επενδεδυμένου κεφαλαίου. FCF Growth 35.02%: ισχυρό θετικό — ρυθμός μεταβολής ελεύθερων ταμειακών ροών. Forward Revenue 8.51%: θετικό — προσδοκώμενη ανάπτυξη εσόδων. Αδύνατα σημεία/κίνδυνοι: FCF Yield 4.78%: ισχυρό αρνητικό — αποτίμηση/παραγωγή ελεύθερων ταμειακών ροών. Δεύτερη πηγή: SEC EDGAR. Υπάρχουν ανεξάρτητα στοιχεία, αλλά όχι αρκετά ίδια πεδία για αριθμητική σύγκριση. Έλεγχος δεδομένων: Δεν εντοπίστηκε anomaly που να απαιτεί ειδική προειδοποίηση. Δεύτερη πηγή: SEC EDGAR. Υπάρχουν ανεξάρτητα στοιχεία, αλλά όχι αρκετά ίδια πεδία για αριθμητική σύγκριση. Δεν βρέθηκαν πρόσφατοι τίτλοι ειδήσεων στο τελευταίο refresh. Earnings: 2026-11-09. Η ανάλυση είναι επεξήγηση του μοντέλου και όχι σύσταση αγοράς ή πώλησης.</t>
        </is>
      </c>
    </row>
    <row r="18" ht="15.6" customHeight="1">
      <c r="A18" s="1" t="n">
        <v>17</v>
      </c>
      <c r="B18" s="1" t="inlineStr">
        <is>
          <t>AIP</t>
        </is>
      </c>
      <c r="C18" s="2" t="inlineStr">
        <is>
          <t>Arteris, Inc.</t>
        </is>
      </c>
      <c r="D18" s="1" t="inlineStr">
        <is>
          <t>Technology</t>
        </is>
      </c>
      <c r="E18" s="1" t="inlineStr">
        <is>
          <t>United States</t>
        </is>
      </c>
      <c r="F18" s="1" t="inlineStr">
        <is>
          <t>USD</t>
        </is>
      </c>
      <c r="G18" s="3" t="n">
        <v>24.66</v>
      </c>
      <c r="H18" s="3" t="n">
        <v>50.26</v>
      </c>
      <c r="I18" s="3" t="n">
        <v>37.695</v>
      </c>
      <c r="J18" s="3" t="n">
        <v>25.6</v>
      </c>
      <c r="K18" s="4" t="n">
        <v>50.94</v>
      </c>
      <c r="L18" s="1" t="b">
        <v>1</v>
      </c>
      <c r="M18" s="1" t="b">
        <v>0</v>
      </c>
      <c r="N18" s="4" t="n">
        <v>0.44</v>
      </c>
      <c r="O18" s="4" t="n"/>
      <c r="P18" s="4" t="n">
        <v>254.63</v>
      </c>
      <c r="Q18" s="4" t="n">
        <v>20.95</v>
      </c>
      <c r="R18" s="4" t="n">
        <v>170.74</v>
      </c>
      <c r="S18" s="5" t="n">
        <v>72.25</v>
      </c>
      <c r="T18" s="6" t="n">
        <v>1212090880</v>
      </c>
      <c r="U18" s="1" t="inlineStr">
        <is>
          <t>validated</t>
        </is>
      </c>
      <c r="V18" s="2" t="inlineStr">
        <is>
          <t>Yahoo Finance 1Y daily history</t>
        </is>
      </c>
      <c r="W18" s="1" t="inlineStr">
        <is>
          <t>2026-10-03T14:53:01</t>
        </is>
      </c>
      <c r="X18" s="7" t="inlineStr">
        <is>
          <t>https://finance.yahoo.com/quote/AIP</t>
        </is>
      </c>
      <c r="Y18" s="2" t="inlineStr">
        <is>
          <t>Η Arteris, Inc. έχει Final Score 72.25/100. Το Final Score είναι καλό, με περισσότερους θετικούς από αρνητικούς παράγοντες. Το γενικό μοντέλο αξιολογεί FCF Yield, FCF Growth, ROIC και forward ανάπτυξη. Το Final Score συνδυάζει εσωτερικά σχετική εικόνα έναντι peers και απόλυτη ποιότητα, χωρίς να εμφανίζονται οι δύο επιμέρους βαθμοί. Θετικοί οδηγοί: FCF Yield 0.44%: θετικό — αποτίμηση/παραγωγή ελεύθερων ταμειακών ροών. ROIC 254.63%: ισχυρό θετικό — αποδοτικότητα του επενδεδυμένου κεφαλαίου. Forward EPS 170.74%: ισχυρό θετικό — προσδοκώμενη ανάπτυξη κερδών ανά μετοχή. Αδύνατα σημεία/κίνδυνοι: Forward Revenue 20.95%: αρνητικό — προσδοκώμενη ανάπτυξη εσόδων. Ελλιπή πεδία: FCF Growth. Δεύτερη πηγή: SEC EDGAR. Υπάρχουν ανεξάρτητα στοιχεία, αλλά όχι αρκετά ίδια πεδία για αριθμητική σύγκριση. Έλεγχος δεδομένων: Ακραία τιμή roic: 254.63%. Δεύτερη πηγή: SEC EDGAR. Υπάρχουν ανεξάρτητα στοιχεία, αλλά όχι αρκετά ίδια πεδία για αριθμητική σύγκριση. Δεν βρέθηκαν πρόσφατοι τίτλοι ειδήσεων στο τελευταίο refresh. Earnings: 2026-11-03. Έλεγχος δεδομένων: Ακραία τιμή roic: 254.63%.. Η ανάλυση είναι επεξήγηση του μοντέλου και όχι σύσταση αγοράς ή πώλησης.</t>
        </is>
      </c>
    </row>
    <row r="19" ht="15.6" customHeight="1">
      <c r="A19" s="1" t="n">
        <v>18</v>
      </c>
      <c r="B19" s="1" t="inlineStr">
        <is>
          <t>VRT</t>
        </is>
      </c>
      <c r="C19" s="2" t="inlineStr">
        <is>
          <t>Vertiv Holdings Co</t>
        </is>
      </c>
      <c r="D19" s="1" t="inlineStr">
        <is>
          <t>Industrials</t>
        </is>
      </c>
      <c r="E19" s="1" t="inlineStr">
        <is>
          <t>United States</t>
        </is>
      </c>
      <c r="F19" s="1" t="inlineStr">
        <is>
          <t>USD</t>
        </is>
      </c>
      <c r="G19" s="3" t="n">
        <v>252.18</v>
      </c>
      <c r="H19" s="3" t="n">
        <v>379.935</v>
      </c>
      <c r="I19" s="3" t="n">
        <v>284.9512</v>
      </c>
      <c r="J19" s="3" t="n">
        <v>127.755</v>
      </c>
      <c r="K19" s="4" t="n">
        <v>33.63</v>
      </c>
      <c r="L19" s="1" t="b">
        <v>1</v>
      </c>
      <c r="M19" s="1" t="b">
        <v>0</v>
      </c>
      <c r="N19" s="4" t="n">
        <v>1.94</v>
      </c>
      <c r="O19" s="4" t="n">
        <v>66.26000000000001</v>
      </c>
      <c r="P19" s="4" t="n">
        <v>21.17</v>
      </c>
      <c r="Q19" s="4" t="n">
        <v>30.36</v>
      </c>
      <c r="R19" s="4" t="n">
        <v>36.16</v>
      </c>
      <c r="S19" s="5" t="n">
        <v>71.38</v>
      </c>
      <c r="T19" s="6" t="n">
        <v>97086308352</v>
      </c>
      <c r="U19" s="1" t="inlineStr">
        <is>
          <t>validated</t>
        </is>
      </c>
      <c r="V19" s="2" t="inlineStr">
        <is>
          <t>Yahoo Finance 1Y daily history</t>
        </is>
      </c>
      <c r="W19" s="1" t="inlineStr">
        <is>
          <t>2026-10-03T14:52:43</t>
        </is>
      </c>
      <c r="X19" s="7" t="inlineStr">
        <is>
          <t>https://finance.yahoo.com/quote/VRT</t>
        </is>
      </c>
      <c r="Y19" s="2" t="inlineStr">
        <is>
          <t>Η Vertiv Holdings Co έχει Final Score 71.38/100. Το Final Score είναι καλό, με περισσότερους θετικούς από αρνητικούς παράγοντες. Το γενικό μοντέλο αξιολογεί FCF Yield, FCF Growth, ROIC και forward ανάπτυξη. Το Final Score συνδυάζει εσωτερικά σχετική εικόνα έναντι peers και απόλυτη ποιότητα, χωρίς να εμφανίζονται οι δύο επιμέρους βαθμοί. Θετικοί οδηγοί: ROIC 21.17%: ισχυρό θετικό — αποδοτικότητα του επενδεδυμένου κεφαλαίου. FCF Growth 66.26%: ισχυρό θετικό — ρυθμός μεταβολής ελεύθερων ταμειακών ροών. Forward Revenue 30.36%: ισχυρό θετικό — προσδοκώμενη ανάπτυξη εσόδων. Αδύνατα σημεία/κίνδυνοι: FCF Yield 1.94%: αρνητικό — αποτίμηση/παραγωγή ελεύθερων ταμειακών ροών. Δεύτερη πηγή: SEC EDGAR. Υπάρχουν ανεξάρτητα στοιχεία, αλλά όχι αρκετά ίδια πεδία για αριθμητική σύγκριση. Έλεγχος δεδομένων: Δεν εντοπίστηκε anomaly που να απαιτεί ειδική προειδοποίηση. Δεύτερη πηγή: SEC EDGAR. Υπάρχουν ανεξάρτητα στοιχεία, αλλά όχι αρκετά ίδια πεδία για αριθμητική σύγκριση. Δεν βρέθηκαν πρόσφατοι τίτλοι ειδήσεων στο τελευταίο refresh. Earnings: 2026-10-21. Η ανάλυση είναι επεξήγηση του μοντέλου και όχι σύσταση αγοράς ή πώλησης.</t>
        </is>
      </c>
    </row>
    <row r="20" ht="15.6" customHeight="1">
      <c r="A20" s="1" t="n">
        <v>19</v>
      </c>
      <c r="B20" s="1" t="inlineStr">
        <is>
          <t>IRWD</t>
        </is>
      </c>
      <c r="C20" s="2" t="inlineStr">
        <is>
          <t>Ironwood Pharmaceuticals, Inc.</t>
        </is>
      </c>
      <c r="D20" s="1" t="inlineStr">
        <is>
          <t>Healthcare</t>
        </is>
      </c>
      <c r="E20" s="1" t="inlineStr">
        <is>
          <t>United States</t>
        </is>
      </c>
      <c r="F20" s="1" t="inlineStr">
        <is>
          <t>USD</t>
        </is>
      </c>
      <c r="G20" s="3" t="n">
        <v>3.64</v>
      </c>
      <c r="H20" s="3" t="n">
        <v>5.78</v>
      </c>
      <c r="I20" s="3" t="n">
        <v>4.335</v>
      </c>
      <c r="J20" s="3" t="n">
        <v>2.14</v>
      </c>
      <c r="K20" s="4" t="n">
        <v>37.02</v>
      </c>
      <c r="L20" s="1" t="b">
        <v>1</v>
      </c>
      <c r="M20" s="1" t="b">
        <v>0</v>
      </c>
      <c r="N20" s="4" t="n">
        <v>21.12</v>
      </c>
      <c r="O20" s="4" t="n">
        <v>22.83</v>
      </c>
      <c r="P20" s="4" t="n">
        <v>12.62</v>
      </c>
      <c r="Q20" s="4" t="n">
        <v>4.8</v>
      </c>
      <c r="R20" s="4" t="n">
        <v>23.97</v>
      </c>
      <c r="S20" s="5" t="n">
        <v>71.25</v>
      </c>
      <c r="T20" s="6" t="n">
        <v>601473472</v>
      </c>
      <c r="U20" s="1" t="inlineStr">
        <is>
          <t>validated</t>
        </is>
      </c>
      <c r="V20" s="2" t="inlineStr">
        <is>
          <t>Yahoo Finance 1Y daily history</t>
        </is>
      </c>
      <c r="W20" s="1" t="inlineStr">
        <is>
          <t>2026-10-03T14:53:19</t>
        </is>
      </c>
      <c r="X20" s="7" t="inlineStr">
        <is>
          <t>https://finance.yahoo.com/quote/IRWD</t>
        </is>
      </c>
      <c r="Y20" s="2" t="inlineStr">
        <is>
          <t>Η Ironwood Pharmaceuticals, Inc. έχει Final Score 71.25/100. Το Final Score είναι καλό, με περισσότερους θετικούς από αρνητικούς παράγοντες. Το γενικό μοντέλο αξιολογεί FCF Yield, FCF Growth, ROIC και forward ανάπτυξη. Το Final Score συνδυάζει εσωτερικά σχετική εικόνα έναντι peers και απόλυτη ποιότητα, χωρίς να εμφανίζονται οι δύο επιμέρους βαθμοί. Θετικοί οδηγοί: FCF Yield 21.12%: ισχυρό θετικό — αποτίμηση/παραγωγή ελεύθερων ταμειακών ροών. ROIC 12.62%: θετικό — αποδοτικότητα του επενδεδυμένου κεφαλαίου. FCF Growth 22.83%: θετικό — ρυθμός μεταβολής ελεύθερων ταμειακών ροών. Δεύτερη πηγή: SEC EDGAR. Υπάρχουν ανεξάρτητα στοιχεία, αλλά όχι αρκετά ίδια πεδία για αριθμητική σύγκριση. Έλεγχος δεδομένων: Δεν εντοπίστηκε anomaly που να απαιτεί ειδική προειδοποίηση. Δεύτερη πηγή: SEC EDGAR. Υπάρχουν ανεξάρτητα στοιχεία, αλλά όχι αρκετά ίδια πεδία για αριθμητική σύγκριση. Δεν βρέθηκαν πρόσφατοι τίτλοι ειδήσεων στο τελευταίο refresh. Earnings: 2026-11-09. Η ανάλυση είναι επεξήγηση του μοντέλου και όχι σύσταση αγοράς ή πώλησης.</t>
        </is>
      </c>
    </row>
    <row r="21" hidden="1" ht="15.6" customHeight="1">
      <c r="A21" s="1" t="n">
        <v>20</v>
      </c>
      <c r="B21" s="1" t="inlineStr">
        <is>
          <t>KER.PA</t>
        </is>
      </c>
      <c r="C21" s="2" t="inlineStr">
        <is>
          <t>Kering SA</t>
        </is>
      </c>
      <c r="D21" s="1" t="inlineStr">
        <is>
          <t>Consumer Cyclical</t>
        </is>
      </c>
      <c r="E21" s="1" t="inlineStr">
        <is>
          <t>France</t>
        </is>
      </c>
      <c r="F21" s="1" t="inlineStr">
        <is>
          <t>EUR</t>
        </is>
      </c>
      <c r="G21" s="3" t="n">
        <v>210.3</v>
      </c>
      <c r="H21" s="3" t="n">
        <v>354.2</v>
      </c>
      <c r="I21" s="3" t="n">
        <v>265.65</v>
      </c>
      <c r="J21" s="3" t="n">
        <v>143.9</v>
      </c>
      <c r="K21" s="4" t="n">
        <v>40.63</v>
      </c>
      <c r="L21" s="1" t="b">
        <v>1</v>
      </c>
      <c r="M21" s="1" t="b">
        <v>0</v>
      </c>
      <c r="N21" s="4" t="n">
        <v>8.800000000000001</v>
      </c>
      <c r="O21" s="4" t="n">
        <v>62.14</v>
      </c>
      <c r="P21" s="4" t="n">
        <v>1.34</v>
      </c>
      <c r="Q21" s="4" t="n">
        <v>6.11</v>
      </c>
      <c r="R21" s="4" t="n">
        <v>53.22</v>
      </c>
      <c r="S21" s="5" t="n">
        <v>71.11</v>
      </c>
      <c r="T21" s="6" t="n">
        <v>25786587136</v>
      </c>
      <c r="U21" s="1" t="inlineStr">
        <is>
          <t>validated</t>
        </is>
      </c>
      <c r="V21" s="2" t="inlineStr">
        <is>
          <t>Yahoo Finance 1Y daily history</t>
        </is>
      </c>
      <c r="W21" s="1" t="inlineStr">
        <is>
          <t>2026-10-03T14:52:52</t>
        </is>
      </c>
      <c r="X21" s="7" t="inlineStr">
        <is>
          <t>https://finance.yahoo.com/quote/KER.PA</t>
        </is>
      </c>
      <c r="Y21" s="2" t="inlineStr">
        <is>
          <t>Η Kering SA έχει Final Score 71.11/100. Το Final Score είναι καλό, με περισσότερους θετικούς από αρνητικούς παράγοντες. Το γενικό μοντέλο αξιολογεί FCF Yield, FCF Growth, ROIC και forward ανάπτυξη. Το Final Score συνδυάζει εσωτερικά σχετική εικόνα έναντι peers και απόλυτη ποιότητα, χωρίς να εμφανίζονται οι δύο επιμέρους βαθμοί. Θετικοί οδηγοί: FCF Yield 8.80%: ισχυρό θετικό — αποτίμηση/παραγωγή ελεύθερων ταμειακών ροών. FCF Growth 62.14%: θετικό — ρυθμός μεταβολής ελεύθερων ταμειακών ροών. Forward Revenue 6.11%: ισχυρό θετικό — προσδοκώμενη ανάπτυξη εσόδων. Δεν υπάρχει διαθέσιμη δεύτερη πηγή fundamentals για ουσιαστική διασταύρωση. Έλεγχος δεδομένων: Δεν εντοπίστηκε anomaly που να απαιτεί ειδική προειδοποίηση. Δεν υπάρχει διαθέσιμη δεύτερη πηγή fundamentals για ουσιαστική διασταύρωση. Δεν βρέθηκαν πρόσφατοι τίτλοι ειδήσεων στο τελευταίο refresh. Earnings: 2026-07-28. Η ανάλυση είναι επεξήγηση του μοντέλου και όχι σύσταση αγοράς ή πώλησης.</t>
        </is>
      </c>
    </row>
  </sheetData>
  <conditionalFormatting sqref="K2:K21">
    <cfRule type="expression" priority="3" dxfId="2">
      <formula>$K2&gt;=25</formula>
    </cfRule>
  </conditionalFormatting>
  <conditionalFormatting sqref="S2:S21">
    <cfRule type="expression" priority="1" dxfId="1">
      <formula>$S2&gt;=70</formula>
    </cfRule>
    <cfRule type="expression" priority="2" dxfId="0">
      <formula>$S2&lt;40</formula>
    </cfRule>
  </conditionalFormatting>
  <hyperlinks>
    <hyperlink xmlns:r="http://schemas.openxmlformats.org/officeDocument/2006/relationships" ref="X2" r:id="rId1"/>
    <hyperlink xmlns:r="http://schemas.openxmlformats.org/officeDocument/2006/relationships" ref="X3" r:id="rId2"/>
    <hyperlink xmlns:r="http://schemas.openxmlformats.org/officeDocument/2006/relationships" ref="X4" r:id="rId3"/>
    <hyperlink xmlns:r="http://schemas.openxmlformats.org/officeDocument/2006/relationships" ref="X5" r:id="rId4"/>
    <hyperlink xmlns:r="http://schemas.openxmlformats.org/officeDocument/2006/relationships" ref="X6" r:id="rId5"/>
    <hyperlink xmlns:r="http://schemas.openxmlformats.org/officeDocument/2006/relationships" ref="X7" r:id="rId6"/>
    <hyperlink xmlns:r="http://schemas.openxmlformats.org/officeDocument/2006/relationships" ref="X8" r:id="rId7"/>
    <hyperlink xmlns:r="http://schemas.openxmlformats.org/officeDocument/2006/relationships" ref="X9" r:id="rId8"/>
    <hyperlink xmlns:r="http://schemas.openxmlformats.org/officeDocument/2006/relationships" ref="X10" r:id="rId9"/>
    <hyperlink xmlns:r="http://schemas.openxmlformats.org/officeDocument/2006/relationships" ref="X11" r:id="rId10"/>
    <hyperlink xmlns:r="http://schemas.openxmlformats.org/officeDocument/2006/relationships" ref="X12" r:id="rId11"/>
    <hyperlink xmlns:r="http://schemas.openxmlformats.org/officeDocument/2006/relationships" ref="X13" r:id="rId12"/>
    <hyperlink xmlns:r="http://schemas.openxmlformats.org/officeDocument/2006/relationships" ref="X14" r:id="rId13"/>
    <hyperlink xmlns:r="http://schemas.openxmlformats.org/officeDocument/2006/relationships" ref="X15" r:id="rId14"/>
    <hyperlink xmlns:r="http://schemas.openxmlformats.org/officeDocument/2006/relationships" ref="X16" r:id="rId15"/>
    <hyperlink xmlns:r="http://schemas.openxmlformats.org/officeDocument/2006/relationships" ref="X17" r:id="rId16"/>
    <hyperlink xmlns:r="http://schemas.openxmlformats.org/officeDocument/2006/relationships" ref="X18" r:id="rId17"/>
    <hyperlink xmlns:r="http://schemas.openxmlformats.org/officeDocument/2006/relationships" ref="X19" r:id="rId18"/>
    <hyperlink xmlns:r="http://schemas.openxmlformats.org/officeDocument/2006/relationships" ref="X20" r:id="rId19"/>
    <hyperlink xmlns:r="http://schemas.openxmlformats.org/officeDocument/2006/relationships" ref="X21" r:id="rId20"/>
  </hyperlinks>
  <pageMargins left="0.75" right="0.75" top="1" bottom="1" header="0.5" footer="0.5"/>
  <tableParts count="1">
    <tablePart xmlns:r="http://schemas.openxmlformats.org/officeDocument/2006/relationships" r:id="rId2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2026-10-01T19:41:42Z</dcterms:created>
  <dcterms:modified xmlns:dcterms="http://purl.org/dc/terms/" xmlns:xsi="http://www.w3.org/2001/XMLSchema-instance" xsi:type="dcterms:W3CDTF">2026-10-11T09:45:48Z</dcterms:modified>
  <cp:lastModifiedBy>Δημήτριος Αναγνωστου</cp:lastModifiedBy>
</cp:coreProperties>
</file>