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Φύλλο1" sheetId="1" state="visible" r:id="rId1"/>
    <sheet xmlns:r="http://schemas.openxmlformats.org/officeDocument/2006/relationships" name="Sold" sheetId="2" state="visible" r:id="rId2"/>
    <sheet xmlns:r="http://schemas.openxmlformats.org/officeDocument/2006/relationships" name="Candidates" sheetId="3" state="visible" r:id="rId3"/>
  </sheets>
  <definedNames/>
  <calcPr calcId="191029" calcMode="auto" fullCalcOnLoad="1" forceFullCalc="1"/>
</workbook>
</file>

<file path=xl/styles.xml><?xml version="1.0" encoding="utf-8"?>
<styleSheet xmlns="http://schemas.openxmlformats.org/spreadsheetml/2006/main">
  <numFmts count="6">
    <numFmt numFmtId="164" formatCode="0.00&quot;%&quot;"/>
    <numFmt numFmtId="165" formatCode="dd/mm/yyyy"/>
    <numFmt numFmtId="166" formatCode="#,##0.00\ &quot;€&quot;"/>
    <numFmt numFmtId="167" formatCode="0.########"/>
    <numFmt numFmtId="168" formatCode="#,##0.00 &quot;€&quot;"/>
    <numFmt numFmtId="169" formatCode="yyyy-mm-dd h:mm:ss"/>
  </numFmts>
  <fonts count="13">
    <font>
      <name val="Calibri"/>
      <color theme="1"/>
      <sz val="11"/>
    </font>
    <font>
      <name val="Calibri"/>
      <color theme="10"/>
      <sz val="12"/>
    </font>
    <font>
      <name val="Calibri"/>
      <b val="1"/>
      <color rgb="FFFFFFFF"/>
      <sz val="11"/>
    </font>
    <font>
      <name val="Calibri"/>
      <b val="1"/>
      <color rgb="FFFFFFFF"/>
      <sz val="11"/>
    </font>
    <font>
      <name val="Calibri"/>
      <color rgb="FF9C5700"/>
      <sz val="11"/>
    </font>
    <font>
      <name val="Calibri"/>
      <color rgb="FF000000"/>
      <sz val="11"/>
    </font>
    <font>
      <name val="Calibri"/>
      <b val="1"/>
      <color rgb="FF375623"/>
      <sz val="11"/>
    </font>
    <font>
      <name val="Calibri"/>
      <b val="1"/>
      <color rgb="FF9C5700"/>
      <sz val="11"/>
    </font>
    <font>
      <b val="1"/>
      <color rgb="00FFFFFF"/>
    </font>
    <font>
      <color rgb="009C5700"/>
    </font>
    <font>
      <color rgb="00000000"/>
    </font>
    <font>
      <b val="1"/>
      <color rgb="00375623"/>
    </font>
    <font>
      <b val="1"/>
      <color rgb="009C5700"/>
    </font>
  </fonts>
  <fills count="23">
    <fill>
      <patternFill/>
    </fill>
    <fill>
      <patternFill patternType="gray125"/>
    </fill>
    <fill>
      <patternFill patternType="solid">
        <fgColor rgb="FF1F4E78"/>
      </patternFill>
    </fill>
    <fill>
      <patternFill patternType="solid">
        <fgColor rgb="FF4472C4"/>
      </patternFill>
    </fill>
    <fill>
      <patternFill patternType="solid">
        <fgColor rgb="FFFCE4D6"/>
      </patternFill>
    </fill>
    <fill>
      <patternFill patternType="solid">
        <fgColor rgb="FFD9EAF7"/>
      </patternFill>
    </fill>
    <fill>
      <patternFill patternType="solid">
        <fgColor rgb="FF1F4E78"/>
      </patternFill>
    </fill>
    <fill>
      <patternFill patternType="solid">
        <fgColor rgb="FF5B9BD5"/>
      </patternFill>
    </fill>
    <fill>
      <patternFill patternType="solid">
        <fgColor rgb="FFED7D31"/>
      </patternFill>
    </fill>
    <fill>
      <patternFill patternType="solid">
        <fgColor rgb="FFFFFF00"/>
      </patternFill>
    </fill>
    <fill>
      <patternFill patternType="solid">
        <fgColor rgb="FFD9D9D9"/>
      </patternFill>
    </fill>
    <fill>
      <patternFill patternType="solid">
        <fgColor rgb="FFE2F0D9"/>
      </patternFill>
    </fill>
    <fill>
      <patternFill patternType="solid">
        <fgColor rgb="FFB4C6E7"/>
      </patternFill>
    </fill>
    <fill>
      <patternFill patternType="solid">
        <fgColor rgb="004472C4"/>
      </patternFill>
    </fill>
    <fill>
      <patternFill patternType="solid">
        <fgColor rgb="00FCE4D6"/>
      </patternFill>
    </fill>
    <fill>
      <patternFill patternType="solid">
        <fgColor rgb="00D9EAF7"/>
      </patternFill>
    </fill>
    <fill>
      <patternFill patternType="solid">
        <fgColor rgb="001F4E78"/>
      </patternFill>
    </fill>
    <fill>
      <patternFill patternType="solid">
        <fgColor rgb="005B9BD5"/>
      </patternFill>
    </fill>
    <fill>
      <patternFill patternType="solid">
        <fgColor rgb="00ED7D31"/>
      </patternFill>
    </fill>
    <fill>
      <patternFill patternType="solid">
        <fgColor rgb="00FFFF00"/>
      </patternFill>
    </fill>
    <fill>
      <patternFill patternType="solid">
        <fgColor rgb="00D9D9D9"/>
      </patternFill>
    </fill>
    <fill>
      <patternFill patternType="solid">
        <fgColor rgb="00E2F0D9"/>
      </patternFill>
    </fill>
    <fill>
      <patternFill patternType="solid">
        <fgColor rgb="00B4C6E7"/>
      </patternFill>
    </fill>
  </fills>
  <borders count="12">
    <border>
      <left/>
      <right/>
      <top/>
      <bottom/>
      <diagonal/>
    </border>
    <border>
      <left/>
      <right/>
      <top/>
      <bottom/>
      <diagonal/>
    </border>
    <border>
      <left/>
      <right/>
      <top/>
      <bottom style="thin">
        <color rgb="FFD9E2F3"/>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medium">
        <color rgb="FF000000"/>
      </top>
      <bottom/>
      <diagonal/>
    </border>
    <border>
      <bottom style="thin">
        <color rgb="00D9E2F3"/>
      </bottom>
    </border>
    <border>
      <left style="medium">
        <color rgb="00000000"/>
      </left>
      <right style="medium">
        <color rgb="00000000"/>
      </right>
      <top style="medium">
        <color rgb="00000000"/>
      </top>
    </border>
    <border>
      <left style="medium">
        <color rgb="00000000"/>
      </left>
      <right style="medium">
        <color rgb="00000000"/>
      </right>
      <bottom style="medium">
        <color rgb="00000000"/>
      </bottom>
    </border>
    <border>
      <top style="medium">
        <color rgb="00000000"/>
      </top>
    </border>
    <border>
      <right/>
      <top style="medium">
        <color rgb="00000000"/>
      </top>
      <bottom/>
    </border>
    <border>
      <left/>
      <right/>
      <top style="medium">
        <color rgb="00000000"/>
      </top>
      <bottom/>
      <diagonal/>
    </border>
  </borders>
  <cellStyleXfs count="3">
    <xf numFmtId="0" fontId="0" fillId="0" borderId="1"/>
    <xf numFmtId="0" fontId="1" fillId="0" borderId="1"/>
    <xf numFmtId="0" fontId="1" fillId="0" borderId="1"/>
  </cellStyleXfs>
  <cellXfs count="157">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center"/>
    </xf>
    <xf numFmtId="4" fontId="0" fillId="0" borderId="0" applyAlignment="1" pivotButton="0" quotePrefix="0" xfId="0">
      <alignment vertical="center"/>
    </xf>
    <xf numFmtId="164" fontId="0" fillId="0" borderId="0" applyAlignment="1" pivotButton="0" quotePrefix="0" xfId="0">
      <alignment vertical="center"/>
    </xf>
    <xf numFmtId="2" fontId="0" fillId="0" borderId="0" applyAlignment="1" pivotButton="0" quotePrefix="0" xfId="0">
      <alignment vertical="center"/>
    </xf>
    <xf numFmtId="3" fontId="0" fillId="0" borderId="0" applyAlignment="1" pivotButton="0" quotePrefix="0" xfId="0">
      <alignment vertical="center"/>
    </xf>
    <xf numFmtId="0" fontId="1" fillId="0" borderId="1" applyAlignment="1" pivotButton="0" quotePrefix="0" xfId="2">
      <alignment vertical="center"/>
    </xf>
    <xf numFmtId="0" fontId="2" fillId="2" borderId="0" applyAlignment="1" pivotButton="0" quotePrefix="0" xfId="0">
      <alignment horizontal="center" vertical="center" wrapText="1"/>
    </xf>
    <xf numFmtId="165" fontId="0" fillId="0" borderId="0" pivotButton="0" quotePrefix="0" xfId="0"/>
    <xf numFmtId="164" fontId="0" fillId="0" borderId="0" pivotButton="0" quotePrefix="0" xfId="0"/>
    <xf numFmtId="166" fontId="0" fillId="0" borderId="0" pivotButton="0" quotePrefix="0" xfId="0"/>
    <xf numFmtId="167" fontId="0" fillId="0" borderId="0" pivotButton="0" quotePrefix="0" xfId="0"/>
    <xf numFmtId="0" fontId="3" fillId="3" borderId="2" applyAlignment="1" pivotButton="0" quotePrefix="0" xfId="0">
      <alignment horizontal="center" vertical="center"/>
    </xf>
    <xf numFmtId="0" fontId="4" fillId="4" borderId="0" applyAlignment="1" pivotButton="0" quotePrefix="0" xfId="0">
      <alignment horizontal="center" vertical="center"/>
    </xf>
    <xf numFmtId="0" fontId="4" fillId="4" borderId="0" pivotButton="0" quotePrefix="0" xfId="0"/>
    <xf numFmtId="165" fontId="4" fillId="4" borderId="0" applyAlignment="1" pivotButton="0" quotePrefix="0" xfId="0">
      <alignment horizontal="center" vertical="center"/>
    </xf>
    <xf numFmtId="166" fontId="4" fillId="4" borderId="0" pivotButton="0" quotePrefix="0" xfId="0"/>
    <xf numFmtId="167" fontId="4" fillId="4" borderId="0" applyAlignment="1" pivotButton="0" quotePrefix="0" xfId="0">
      <alignment horizontal="center" vertical="center"/>
    </xf>
    <xf numFmtId="164" fontId="4" fillId="4" borderId="0" applyAlignment="1" pivotButton="0" quotePrefix="0" xfId="0">
      <alignment horizontal="center" vertical="center"/>
    </xf>
    <xf numFmtId="2" fontId="4" fillId="4" borderId="0" applyAlignment="1" pivotButton="0" quotePrefix="0" xfId="0">
      <alignment horizontal="center" vertical="center"/>
    </xf>
    <xf numFmtId="0" fontId="5" fillId="5" borderId="0" applyAlignment="1" pivotButton="0" quotePrefix="0" xfId="0">
      <alignment horizontal="center" vertical="center"/>
    </xf>
    <xf numFmtId="0" fontId="5" fillId="5" borderId="0" pivotButton="0" quotePrefix="0" xfId="0"/>
    <xf numFmtId="165" fontId="5" fillId="5" borderId="0" applyAlignment="1" pivotButton="0" quotePrefix="0" xfId="0">
      <alignment horizontal="center" vertical="center"/>
    </xf>
    <xf numFmtId="166" fontId="5" fillId="5" borderId="0" pivotButton="0" quotePrefix="0" xfId="0"/>
    <xf numFmtId="167" fontId="5" fillId="5" borderId="0" applyAlignment="1" pivotButton="0" quotePrefix="0" xfId="0">
      <alignment horizontal="center" vertical="center"/>
    </xf>
    <xf numFmtId="164" fontId="5" fillId="5" borderId="0" applyAlignment="1" pivotButton="0" quotePrefix="0" xfId="0">
      <alignment horizontal="center" vertical="center"/>
    </xf>
    <xf numFmtId="2" fontId="5" fillId="5" borderId="0" applyAlignment="1" pivotButton="0" quotePrefix="0" xfId="0">
      <alignment horizontal="center" vertical="center"/>
    </xf>
    <xf numFmtId="0" fontId="3" fillId="6" borderId="0" applyAlignment="1" pivotButton="0" quotePrefix="0" xfId="0">
      <alignment horizontal="center" vertical="center"/>
    </xf>
    <xf numFmtId="0" fontId="3" fillId="6" borderId="0" pivotButton="0" quotePrefix="0" xfId="0"/>
    <xf numFmtId="165" fontId="3" fillId="6" borderId="0" applyAlignment="1" pivotButton="0" quotePrefix="0" xfId="0">
      <alignment horizontal="center" vertical="center"/>
    </xf>
    <xf numFmtId="166" fontId="3" fillId="6" borderId="0" pivotButton="0" quotePrefix="0" xfId="0"/>
    <xf numFmtId="167" fontId="3" fillId="6" borderId="0" applyAlignment="1" pivotButton="0" quotePrefix="0" xfId="0">
      <alignment horizontal="center" vertical="center"/>
    </xf>
    <xf numFmtId="164" fontId="3" fillId="6" borderId="0" applyAlignment="1" pivotButton="0" quotePrefix="0" xfId="0">
      <alignment horizontal="center" vertical="center"/>
    </xf>
    <xf numFmtId="2" fontId="3" fillId="6" borderId="0" applyAlignment="1" pivotButton="0" quotePrefix="0" xfId="0">
      <alignment horizontal="center" vertical="center"/>
    </xf>
    <xf numFmtId="0" fontId="3" fillId="7" borderId="0" applyAlignment="1" pivotButton="0" quotePrefix="0" xfId="0">
      <alignment horizontal="center" vertical="center"/>
    </xf>
    <xf numFmtId="0" fontId="3" fillId="7" borderId="0" pivotButton="0" quotePrefix="0" xfId="0"/>
    <xf numFmtId="165" fontId="3" fillId="7" borderId="0" applyAlignment="1" pivotButton="0" quotePrefix="0" xfId="0">
      <alignment horizontal="center" vertical="center"/>
    </xf>
    <xf numFmtId="166" fontId="3" fillId="7" borderId="0" pivotButton="0" quotePrefix="0" xfId="0"/>
    <xf numFmtId="167" fontId="3" fillId="7" borderId="0" applyAlignment="1" pivotButton="0" quotePrefix="0" xfId="0">
      <alignment horizontal="center" vertical="center"/>
    </xf>
    <xf numFmtId="164" fontId="3" fillId="7" borderId="0" applyAlignment="1" pivotButton="0" quotePrefix="0" xfId="0">
      <alignment horizontal="center" vertical="center"/>
    </xf>
    <xf numFmtId="2" fontId="3" fillId="7" borderId="0" applyAlignment="1" pivotButton="0" quotePrefix="0" xfId="0">
      <alignment horizontal="center" vertical="center"/>
    </xf>
    <xf numFmtId="0" fontId="3" fillId="8" borderId="0" applyAlignment="1" pivotButton="0" quotePrefix="0" xfId="0">
      <alignment horizontal="center" vertical="center"/>
    </xf>
    <xf numFmtId="0" fontId="3" fillId="8" borderId="0" pivotButton="0" quotePrefix="0" xfId="0"/>
    <xf numFmtId="165" fontId="3" fillId="8" borderId="0" applyAlignment="1" pivotButton="0" quotePrefix="0" xfId="0">
      <alignment horizontal="center" vertical="center"/>
    </xf>
    <xf numFmtId="166" fontId="3" fillId="8" borderId="0" pivotButton="0" quotePrefix="0" xfId="0"/>
    <xf numFmtId="167" fontId="3" fillId="8" borderId="0" applyAlignment="1" pivotButton="0" quotePrefix="0" xfId="0">
      <alignment horizontal="center" vertical="center"/>
    </xf>
    <xf numFmtId="164" fontId="3" fillId="8" borderId="0" applyAlignment="1" pivotButton="0" quotePrefix="0" xfId="0">
      <alignment horizontal="center" vertical="center"/>
    </xf>
    <xf numFmtId="2" fontId="3" fillId="8" borderId="0" applyAlignment="1" pivotButton="0" quotePrefix="0" xfId="0">
      <alignment horizontal="center" vertical="center"/>
    </xf>
    <xf numFmtId="0" fontId="5" fillId="9" borderId="3" applyAlignment="1" pivotButton="0" quotePrefix="0" xfId="0">
      <alignment horizontal="center" vertical="center"/>
    </xf>
    <xf numFmtId="0" fontId="5" fillId="4" borderId="0" applyAlignment="1" pivotButton="0" quotePrefix="0" xfId="0">
      <alignment horizontal="center" vertical="center"/>
    </xf>
    <xf numFmtId="166" fontId="5" fillId="9" borderId="4" applyAlignment="1" pivotButton="0" quotePrefix="0" xfId="0">
      <alignment horizontal="center" vertical="center"/>
    </xf>
    <xf numFmtId="10" fontId="5" fillId="4" borderId="0" applyAlignment="1" pivotButton="0" quotePrefix="0" xfId="0">
      <alignment horizontal="center" vertical="center"/>
    </xf>
    <xf numFmtId="0" fontId="5" fillId="11" borderId="3" applyAlignment="1" pivotButton="0" quotePrefix="0" xfId="0">
      <alignment horizontal="center" vertical="center"/>
    </xf>
    <xf numFmtId="166" fontId="5" fillId="11" borderId="4" applyAlignment="1" pivotButton="0" quotePrefix="0" xfId="0">
      <alignment horizontal="center" vertical="center"/>
    </xf>
    <xf numFmtId="166" fontId="6" fillId="11" borderId="0" pivotButton="0" quotePrefix="0" xfId="0"/>
    <xf numFmtId="166" fontId="7" fillId="4" borderId="0" pivotButton="0" quotePrefix="0" xfId="0"/>
    <xf numFmtId="0" fontId="5" fillId="10" borderId="5" applyAlignment="1" pivotButton="0" quotePrefix="0" xfId="0">
      <alignment horizontal="center" vertical="center"/>
    </xf>
    <xf numFmtId="0" fontId="5" fillId="10" borderId="0" applyAlignment="1" pivotButton="0" quotePrefix="0" xfId="0">
      <alignment horizontal="center" vertical="center"/>
    </xf>
    <xf numFmtId="0" fontId="5" fillId="11" borderId="5" applyAlignment="1" pivotButton="0" quotePrefix="0" xfId="0">
      <alignment horizontal="center" vertical="center"/>
    </xf>
    <xf numFmtId="0" fontId="5" fillId="11" borderId="0" applyAlignment="1" pivotButton="0" quotePrefix="0" xfId="0">
      <alignment horizontal="center" vertical="center"/>
    </xf>
    <xf numFmtId="0" fontId="5" fillId="12" borderId="5" applyAlignment="1" pivotButton="0" quotePrefix="0" xfId="0">
      <alignment horizontal="center" vertical="center"/>
    </xf>
    <xf numFmtId="0" fontId="5" fillId="12" borderId="0" applyAlignment="1" pivotButton="0" quotePrefix="0" xfId="0">
      <alignment horizontal="center" vertical="center"/>
    </xf>
    <xf numFmtId="10" fontId="5" fillId="12" borderId="0" applyAlignment="1" pivotButton="0" quotePrefix="0" xfId="0">
      <alignment horizontal="center" vertical="center"/>
    </xf>
    <xf numFmtId="10" fontId="5" fillId="11" borderId="0" applyAlignment="1" pivotButton="0" quotePrefix="0" xfId="0">
      <alignment horizontal="center" vertical="center"/>
    </xf>
    <xf numFmtId="10" fontId="5" fillId="10" borderId="0" applyAlignment="1" pivotButton="0" quotePrefix="0" xfId="0">
      <alignment horizontal="center" vertical="center"/>
    </xf>
    <xf numFmtId="166" fontId="0" fillId="9" borderId="0" applyAlignment="1" pivotButton="0" quotePrefix="0" xfId="0">
      <alignment horizontal="center" vertical="center"/>
    </xf>
    <xf numFmtId="0" fontId="0" fillId="9" borderId="0" applyAlignment="1" pivotButton="0" quotePrefix="0" xfId="0">
      <alignment horizontal="center" vertical="center"/>
    </xf>
    <xf numFmtId="166" fontId="0" fillId="10" borderId="0" applyAlignment="1" pivotButton="0" quotePrefix="0" xfId="0">
      <alignment horizontal="center" vertical="center"/>
    </xf>
    <xf numFmtId="0" fontId="0" fillId="10" borderId="0" applyAlignment="1" pivotButton="0" quotePrefix="0" xfId="0">
      <alignment horizontal="center" vertical="center"/>
    </xf>
    <xf numFmtId="0" fontId="0" fillId="4" borderId="5" applyAlignment="1" pivotButton="0" quotePrefix="0" xfId="0">
      <alignment horizontal="center" vertical="center"/>
    </xf>
    <xf numFmtId="0" fontId="0" fillId="4" borderId="0" applyAlignment="1" pivotButton="0" quotePrefix="0" xfId="0">
      <alignment horizontal="center" vertical="center"/>
    </xf>
    <xf numFmtId="10" fontId="0" fillId="5" borderId="0" applyAlignment="1" pivotButton="0" quotePrefix="0" xfId="0">
      <alignment horizontal="center" vertical="center"/>
    </xf>
    <xf numFmtId="0" fontId="0" fillId="5" borderId="0" applyAlignment="1" pivotButton="0" quotePrefix="0" xfId="0">
      <alignment horizontal="center" vertical="center"/>
    </xf>
    <xf numFmtId="166" fontId="0" fillId="4" borderId="0" applyAlignment="1" pivotButton="0" quotePrefix="0" xfId="0">
      <alignment horizontal="center" vertical="center"/>
    </xf>
    <xf numFmtId="0" fontId="0" fillId="9" borderId="5" applyAlignment="1" pivotButton="0" quotePrefix="0" xfId="0">
      <alignment horizontal="center" vertical="center"/>
    </xf>
    <xf numFmtId="0" fontId="0" fillId="10" borderId="5" applyAlignment="1" pivotButton="0" quotePrefix="0" xfId="0">
      <alignment horizontal="center" vertical="center"/>
    </xf>
    <xf numFmtId="0" fontId="0" fillId="5" borderId="5" applyAlignment="1" pivotButton="0" quotePrefix="0" xfId="0">
      <alignment horizontal="center" vertical="center"/>
    </xf>
    <xf numFmtId="0" fontId="8" fillId="13" borderId="6" applyAlignment="1" pivotButton="0" quotePrefix="0" xfId="0">
      <alignment horizontal="center" vertical="center"/>
    </xf>
    <xf numFmtId="0" fontId="9" fillId="14" borderId="0" applyAlignment="1" pivotButton="0" quotePrefix="0" xfId="0">
      <alignment horizontal="center" vertical="center"/>
    </xf>
    <xf numFmtId="0" fontId="9" fillId="14" borderId="0" pivotButton="0" quotePrefix="0" xfId="0"/>
    <xf numFmtId="165" fontId="9" fillId="14" borderId="0" applyAlignment="1" pivotButton="0" quotePrefix="0" xfId="0">
      <alignment horizontal="center" vertical="center"/>
    </xf>
    <xf numFmtId="168" fontId="9" fillId="14" borderId="0" pivotButton="0" quotePrefix="0" xfId="0"/>
    <xf numFmtId="167" fontId="9" fillId="14" borderId="0" applyAlignment="1" pivotButton="0" quotePrefix="0" xfId="0">
      <alignment horizontal="center" vertical="center"/>
    </xf>
    <xf numFmtId="164" fontId="9" fillId="14" borderId="0" applyAlignment="1" pivotButton="0" quotePrefix="0" xfId="0">
      <alignment horizontal="center" vertical="center"/>
    </xf>
    <xf numFmtId="2" fontId="9" fillId="14" borderId="0" applyAlignment="1" pivotButton="0" quotePrefix="0" xfId="0">
      <alignment horizontal="center" vertical="center"/>
    </xf>
    <xf numFmtId="0" fontId="10" fillId="15" borderId="0" applyAlignment="1" pivotButton="0" quotePrefix="0" xfId="0">
      <alignment horizontal="center" vertical="center"/>
    </xf>
    <xf numFmtId="0" fontId="10" fillId="15" borderId="0" pivotButton="0" quotePrefix="0" xfId="0"/>
    <xf numFmtId="165" fontId="10" fillId="15" borderId="0" applyAlignment="1" pivotButton="0" quotePrefix="0" xfId="0">
      <alignment horizontal="center" vertical="center"/>
    </xf>
    <xf numFmtId="168" fontId="10" fillId="15" borderId="0" pivotButton="0" quotePrefix="0" xfId="0"/>
    <xf numFmtId="167" fontId="10" fillId="15" borderId="0" applyAlignment="1" pivotButton="0" quotePrefix="0" xfId="0">
      <alignment horizontal="center" vertical="center"/>
    </xf>
    <xf numFmtId="164" fontId="10" fillId="15" borderId="0" applyAlignment="1" pivotButton="0" quotePrefix="0" xfId="0">
      <alignment horizontal="center" vertical="center"/>
    </xf>
    <xf numFmtId="2" fontId="10" fillId="15" borderId="0" applyAlignment="1" pivotButton="0" quotePrefix="0" xfId="0">
      <alignment horizontal="center" vertical="center"/>
    </xf>
    <xf numFmtId="0" fontId="8" fillId="16" borderId="0" applyAlignment="1" pivotButton="0" quotePrefix="0" xfId="0">
      <alignment horizontal="center" vertical="center"/>
    </xf>
    <xf numFmtId="0" fontId="8" fillId="16" borderId="0" pivotButton="0" quotePrefix="0" xfId="0"/>
    <xf numFmtId="165" fontId="8" fillId="16" borderId="0" applyAlignment="1" pivotButton="0" quotePrefix="0" xfId="0">
      <alignment horizontal="center" vertical="center"/>
    </xf>
    <xf numFmtId="168" fontId="8" fillId="16" borderId="0" pivotButton="0" quotePrefix="0" xfId="0"/>
    <xf numFmtId="167" fontId="8" fillId="16" borderId="0" applyAlignment="1" pivotButton="0" quotePrefix="0" xfId="0">
      <alignment horizontal="center" vertical="center"/>
    </xf>
    <xf numFmtId="164" fontId="8" fillId="16" borderId="0" applyAlignment="1" pivotButton="0" quotePrefix="0" xfId="0">
      <alignment horizontal="center" vertical="center"/>
    </xf>
    <xf numFmtId="2" fontId="8" fillId="16" borderId="0" applyAlignment="1" pivotButton="0" quotePrefix="0" xfId="0">
      <alignment horizontal="center" vertical="center"/>
    </xf>
    <xf numFmtId="0" fontId="8" fillId="17" borderId="0" applyAlignment="1" pivotButton="0" quotePrefix="0" xfId="0">
      <alignment horizontal="center" vertical="center"/>
    </xf>
    <xf numFmtId="0" fontId="8" fillId="17" borderId="0" pivotButton="0" quotePrefix="0" xfId="0"/>
    <xf numFmtId="165" fontId="8" fillId="17" borderId="0" applyAlignment="1" pivotButton="0" quotePrefix="0" xfId="0">
      <alignment horizontal="center" vertical="center"/>
    </xf>
    <xf numFmtId="168" fontId="8" fillId="17" borderId="0" pivotButton="0" quotePrefix="0" xfId="0"/>
    <xf numFmtId="167" fontId="8" fillId="17" borderId="0" applyAlignment="1" pivotButton="0" quotePrefix="0" xfId="0">
      <alignment horizontal="center" vertical="center"/>
    </xf>
    <xf numFmtId="164" fontId="8" fillId="17" borderId="0" applyAlignment="1" pivotButton="0" quotePrefix="0" xfId="0">
      <alignment horizontal="center" vertical="center"/>
    </xf>
    <xf numFmtId="2" fontId="8" fillId="17" borderId="0" applyAlignment="1" pivotButton="0" quotePrefix="0" xfId="0">
      <alignment horizontal="center" vertical="center"/>
    </xf>
    <xf numFmtId="0" fontId="8" fillId="18" borderId="0" applyAlignment="1" pivotButton="0" quotePrefix="0" xfId="0">
      <alignment horizontal="center" vertical="center"/>
    </xf>
    <xf numFmtId="0" fontId="8" fillId="18" borderId="0" pivotButton="0" quotePrefix="0" xfId="0"/>
    <xf numFmtId="165" fontId="8" fillId="18" borderId="0" applyAlignment="1" pivotButton="0" quotePrefix="0" xfId="0">
      <alignment horizontal="center" vertical="center"/>
    </xf>
    <xf numFmtId="168" fontId="8" fillId="18" borderId="0" pivotButton="0" quotePrefix="0" xfId="0"/>
    <xf numFmtId="167" fontId="8" fillId="18" borderId="0" applyAlignment="1" pivotButton="0" quotePrefix="0" xfId="0">
      <alignment horizontal="center" vertical="center"/>
    </xf>
    <xf numFmtId="164" fontId="8" fillId="18" borderId="0" applyAlignment="1" pivotButton="0" quotePrefix="0" xfId="0">
      <alignment horizontal="center" vertical="center"/>
    </xf>
    <xf numFmtId="2" fontId="8" fillId="18" borderId="0" applyAlignment="1" pivotButton="0" quotePrefix="0" xfId="0">
      <alignment horizontal="center" vertical="center"/>
    </xf>
    <xf numFmtId="0" fontId="10" fillId="19" borderId="7" applyAlignment="1" pivotButton="0" quotePrefix="0" xfId="0">
      <alignment horizontal="center" vertical="center"/>
    </xf>
    <xf numFmtId="0" fontId="10" fillId="20" borderId="9" applyAlignment="1" pivotButton="0" quotePrefix="0" xfId="0">
      <alignment horizontal="center" vertical="center"/>
    </xf>
    <xf numFmtId="0" fontId="10" fillId="20" borderId="0" applyAlignment="1" pivotButton="0" quotePrefix="0" xfId="0">
      <alignment horizontal="center" vertical="center"/>
    </xf>
    <xf numFmtId="0" fontId="10" fillId="14" borderId="0" applyAlignment="1" pivotButton="0" quotePrefix="0" xfId="0">
      <alignment horizontal="center" vertical="center"/>
    </xf>
    <xf numFmtId="0" fontId="10" fillId="22" borderId="9" applyAlignment="1" pivotButton="0" quotePrefix="0" xfId="0">
      <alignment horizontal="center" vertical="center"/>
    </xf>
    <xf numFmtId="0" fontId="10" fillId="22" borderId="0" applyAlignment="1" pivotButton="0" quotePrefix="0" xfId="0">
      <alignment horizontal="center" vertical="center"/>
    </xf>
    <xf numFmtId="168" fontId="10" fillId="19" borderId="8" applyAlignment="1" pivotButton="0" quotePrefix="0" xfId="0">
      <alignment horizontal="center" vertical="center"/>
    </xf>
    <xf numFmtId="10" fontId="10" fillId="20" borderId="0" applyAlignment="1" pivotButton="0" quotePrefix="0" xfId="0">
      <alignment horizontal="center" vertical="center"/>
    </xf>
    <xf numFmtId="10" fontId="10" fillId="14" borderId="0" applyAlignment="1" pivotButton="0" quotePrefix="0" xfId="0">
      <alignment horizontal="center" vertical="center"/>
    </xf>
    <xf numFmtId="10" fontId="10" fillId="22" borderId="0" applyAlignment="1" pivotButton="0" quotePrefix="0" xfId="0">
      <alignment horizontal="center" vertical="center"/>
    </xf>
    <xf numFmtId="0" fontId="10" fillId="21" borderId="7" applyAlignment="1" pivotButton="0" quotePrefix="0" xfId="0">
      <alignment horizontal="center" vertical="center"/>
    </xf>
    <xf numFmtId="0" fontId="10" fillId="21" borderId="9" applyAlignment="1" pivotButton="0" quotePrefix="0" xfId="0">
      <alignment horizontal="center" vertical="center"/>
    </xf>
    <xf numFmtId="0" fontId="10" fillId="21" borderId="0" applyAlignment="1" pivotButton="0" quotePrefix="0" xfId="0">
      <alignment horizontal="center" vertical="center"/>
    </xf>
    <xf numFmtId="168" fontId="10" fillId="21" borderId="8" applyAlignment="1" pivotButton="0" quotePrefix="0" xfId="0">
      <alignment horizontal="center" vertical="center"/>
    </xf>
    <xf numFmtId="10" fontId="10" fillId="21" borderId="0" applyAlignment="1" pivotButton="0" quotePrefix="0" xfId="0">
      <alignment horizontal="center" vertical="center"/>
    </xf>
    <xf numFmtId="168" fontId="0" fillId="0" borderId="0" pivotButton="0" quotePrefix="0" xfId="0"/>
    <xf numFmtId="168" fontId="11" fillId="21" borderId="0" pivotButton="0" quotePrefix="0" xfId="0"/>
    <xf numFmtId="168" fontId="12" fillId="14" borderId="0" pivotButton="0" quotePrefix="0" xfId="0"/>
    <xf numFmtId="0" fontId="0" fillId="19" borderId="9" applyAlignment="1" pivotButton="0" quotePrefix="0" xfId="0">
      <alignment horizontal="center" vertical="center"/>
    </xf>
    <xf numFmtId="0" fontId="0" fillId="19" borderId="0" applyAlignment="1" pivotButton="0" quotePrefix="0" xfId="0">
      <alignment horizontal="center" vertical="center"/>
    </xf>
    <xf numFmtId="0" fontId="0" fillId="20" borderId="9" applyAlignment="1" pivotButton="0" quotePrefix="0" xfId="0">
      <alignment horizontal="center" vertical="center"/>
    </xf>
    <xf numFmtId="0" fontId="0" fillId="20" borderId="0" applyAlignment="1" pivotButton="0" quotePrefix="0" xfId="0">
      <alignment horizontal="center" vertical="center"/>
    </xf>
    <xf numFmtId="0" fontId="0" fillId="14" borderId="9" applyAlignment="1" pivotButton="0" quotePrefix="0" xfId="0">
      <alignment horizontal="center" vertical="center"/>
    </xf>
    <xf numFmtId="0" fontId="0" fillId="14" borderId="0" applyAlignment="1" pivotButton="0" quotePrefix="0" xfId="0">
      <alignment horizontal="center" vertical="center"/>
    </xf>
    <xf numFmtId="0" fontId="0" fillId="15" borderId="9" applyAlignment="1" pivotButton="0" quotePrefix="0" xfId="0">
      <alignment horizontal="center" vertical="center"/>
    </xf>
    <xf numFmtId="0" fontId="0" fillId="15" borderId="0" applyAlignment="1" pivotButton="0" quotePrefix="0" xfId="0">
      <alignment horizontal="center" vertical="center"/>
    </xf>
    <xf numFmtId="168" fontId="0" fillId="19" borderId="0" applyAlignment="1" pivotButton="0" quotePrefix="0" xfId="0">
      <alignment horizontal="center" vertical="center"/>
    </xf>
    <xf numFmtId="168" fontId="0" fillId="20" borderId="0" applyAlignment="1" pivotButton="0" quotePrefix="0" xfId="0">
      <alignment horizontal="center" vertical="center"/>
    </xf>
    <xf numFmtId="168" fontId="0" fillId="14" borderId="0" applyAlignment="1" pivotButton="0" quotePrefix="0" xfId="0">
      <alignment horizontal="center" vertical="center"/>
    </xf>
    <xf numFmtId="10" fontId="0" fillId="15" borderId="0" applyAlignment="1" pivotButton="0" quotePrefix="0" xfId="0">
      <alignment horizontal="center" vertical="center"/>
    </xf>
    <xf numFmtId="168" fontId="9" fillId="14" borderId="0" pivotButton="0" quotePrefix="0" xfId="0"/>
    <xf numFmtId="168" fontId="10" fillId="15" borderId="0" pivotButton="0" quotePrefix="0" xfId="0"/>
    <xf numFmtId="168" fontId="8" fillId="16" borderId="0" pivotButton="0" quotePrefix="0" xfId="0"/>
    <xf numFmtId="168" fontId="8" fillId="17" borderId="0" pivotButton="0" quotePrefix="0" xfId="0"/>
    <xf numFmtId="168" fontId="8" fillId="18" borderId="0" pivotButton="0" quotePrefix="0" xfId="0"/>
    <xf numFmtId="168" fontId="10" fillId="19" borderId="8" applyAlignment="1" pivotButton="0" quotePrefix="0" xfId="0">
      <alignment horizontal="center" vertical="center"/>
    </xf>
    <xf numFmtId="168" fontId="10" fillId="21" borderId="8" applyAlignment="1" pivotButton="0" quotePrefix="0" xfId="0">
      <alignment horizontal="center" vertical="center"/>
    </xf>
    <xf numFmtId="168" fontId="0" fillId="0" borderId="0" pivotButton="0" quotePrefix="0" xfId="0"/>
    <xf numFmtId="168" fontId="11" fillId="21" borderId="0" pivotButton="0" quotePrefix="0" xfId="0"/>
    <xf numFmtId="168" fontId="12" fillId="14" borderId="0" pivotButton="0" quotePrefix="0" xfId="0"/>
    <xf numFmtId="168" fontId="0" fillId="19" borderId="0" applyAlignment="1" pivotButton="0" quotePrefix="0" xfId="0">
      <alignment horizontal="center" vertical="center"/>
    </xf>
    <xf numFmtId="168" fontId="0" fillId="20" borderId="0" applyAlignment="1" pivotButton="0" quotePrefix="0" xfId="0">
      <alignment horizontal="center" vertical="center"/>
    </xf>
    <xf numFmtId="168" fontId="0" fillId="14" borderId="0" applyAlignment="1" pivotButton="0" quotePrefix="0" xfId="0">
      <alignment horizontal="center" vertical="center"/>
    </xf>
  </cellXfs>
  <cellStyles count="3">
    <cellStyle name="Κανονικό" xfId="0" builtinId="0"/>
    <cellStyle name="Υπερ-σύνδεση" xfId="1"/>
    <cellStyle name="Hyperlink" xfId="2"/>
  </cellStyles>
  <dxfs count="9">
    <dxf>
      <fill>
        <patternFill patternType="solid">
          <fgColor rgb="FFF4CCCC"/>
        </patternFill>
      </fill>
    </dxf>
    <dxf>
      <fill>
        <patternFill patternType="solid">
          <fgColor rgb="FFC6E0B4"/>
        </patternFill>
      </fill>
    </dxf>
    <dxf>
      <fill>
        <patternFill patternType="solid">
          <fgColor rgb="FFFFF2CC"/>
        </patternFill>
      </fill>
    </dxf>
    <dxf>
      <fill>
        <patternFill patternType="solid">
          <fgColor rgb="FFFCE4D6"/>
        </patternFill>
      </fill>
    </dxf>
    <dxf>
      <fill>
        <patternFill patternType="solid">
          <fgColor rgb="FFE2F0D9"/>
        </patternFill>
      </fill>
    </dxf>
    <dxf>
      <fill>
        <patternFill patternType="solid">
          <fgColor rgb="FFFCE4D6"/>
        </patternFill>
      </fill>
    </dxf>
    <dxf>
      <fill>
        <patternFill patternType="solid">
          <fgColor rgb="FFE2F0D9"/>
        </patternFill>
      </fill>
    </dxf>
    <dxf>
      <fill>
        <patternFill patternType="solid">
          <fgColor rgb="00E2F0D9"/>
        </patternFill>
      </fill>
    </dxf>
    <dxf>
      <fill>
        <patternFill patternType="solid">
          <fgColor rgb="00FCE4D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StockSummary" displayName="StockSummary" ref="A1:V70" headerRowCount="1">
  <autoFilter ref="A1:V70"/>
  <tableColumns count="22">
    <tableColumn id="1" name="symbol"/>
    <tableColumn id="2" name="name"/>
    <tableColumn id="3" name="sector"/>
    <tableColumn id="4" name="country"/>
    <tableColumn id="5" name="platform"/>
    <tableColumn id="6" name="purchase_date"/>
    <tableColumn id="7" name="purchase_price"/>
    <tableColumn id="8" name="quantity"/>
    <tableColumn id="9" name="current_price"/>
    <tableColumn id="10" name="market_value"/>
    <tableColumn id="11" name="percent_change"/>
    <tableColumn id="12" name="monthly_percent_change"/>
    <tableColumn id="13" name="avg_monthly_change"/>
    <tableColumn id="14" name="portfolio_weight"/>
    <tableColumn id="15" name="vuaa_return"/>
    <tableColumn id="16" name="excess_return"/>
    <tableColumn id="17" name="fcf_yield"/>
    <tableColumn id="18" name="fcf_growth"/>
    <tableColumn id="19" name="roic"/>
    <tableColumn id="20" name="forward_revenue_growth"/>
    <tableColumn id="21" name="forward_eps_growth"/>
    <tableColumn id="22" name="final_score"/>
  </tableColumns>
  <tableStyleInfo name="TableStyleMedium2" showFirstColumn="0" showLastColumn="0" showRowStripes="1" showColumnStripes="0"/>
</table>
</file>

<file path=xl/tables/table2.xml><?xml version="1.0" encoding="utf-8"?>
<table xmlns="http://schemas.openxmlformats.org/spreadsheetml/2006/main" id="2" name="SoldSummary" displayName="SoldSummary" ref="A1:J14" headerRowCount="1">
  <autoFilter ref="A1:J14"/>
  <tableColumns count="10">
    <tableColumn id="1" name="symbol"/>
    <tableColumn id="2" name="sector"/>
    <tableColumn id="3" name="platform"/>
    <tableColumn id="4" name="purchase_date"/>
    <tableColumn id="5" name="sell_date"/>
    <tableColumn id="6" name="purchase_price"/>
    <tableColumn id="7" name="quantity"/>
    <tableColumn id="8" name="current_price"/>
    <tableColumn id="9" name="percent_change"/>
    <tableColumn id="10" name="total_profit_loss"/>
  </tableColumns>
  <tableStyleInfo name="TableStyleMedium2" showFirstColumn="0" showLastColumn="0" showRowStripes="1" showColumnStripes="0"/>
</table>
</file>

<file path=xl/tables/table3.xml><?xml version="1.0" encoding="utf-8"?>
<table xmlns="http://schemas.openxmlformats.org/spreadsheetml/2006/main" id="3" name="CandidateResearch" displayName="CandidateResearch" ref="A1:Y21" headerRowCount="1">
  <autoFilter ref="A1:Y21">
    <filterColumn colId="4" hiddenButton="0" showButton="1">
      <filters>
        <filter val="United States"/>
      </filters>
    </filterColumn>
  </autoFilter>
  <tableColumns count="25">
    <tableColumn id="1" name="rank"/>
    <tableColumn id="2" name="symbol"/>
    <tableColumn id="3" name="name"/>
    <tableColumn id="4" name="sector"/>
    <tableColumn id="5" name="country"/>
    <tableColumn id="6" name="currency"/>
    <tableColumn id="7" name="current_price"/>
    <tableColumn id="8" name="high_52w"/>
    <tableColumn id="9" name="price_25pct_below_high"/>
    <tableColumn id="10" name="drop_from_52w_high_amount"/>
    <tableColumn id="11" name="discount_from_52w_high_pct"/>
    <tableColumn id="12" name="meets_25pct_discount"/>
    <tableColumn id="13" name="already_in_portfolio"/>
    <tableColumn id="14" name="fcf_yield"/>
    <tableColumn id="15" name="fcf_growth"/>
    <tableColumn id="16" name="roic"/>
    <tableColumn id="17" name="forward_revenue_growth"/>
    <tableColumn id="18" name="forward_eps_growth"/>
    <tableColumn id="19" name="final_score"/>
    <tableColumn id="20" name="market_cap"/>
    <tableColumn id="21" name="validation_status"/>
    <tableColumn id="22" name="validation_source"/>
    <tableColumn id="23" name="researched_at"/>
    <tableColumn id="24" name="source_url"/>
    <tableColumn id="25" name="dashboard_analysis"/>
  </tableColumns>
  <tableStyleInfo name="TableStyleMedium2" showFirstColumn="0" showLastColumn="0" showRowStripes="1" showColumnStripes="0"/>
</table>
</file>

<file path=xl/theme/theme1.xml><?xml version="1.0" encoding="utf-8"?>
<a:theme xmlns:a="http://schemas.openxmlformats.org/drawingml/2006/main" name="Θέμα του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hyperlink" Target="https://finance.yahoo.com/quote/TEK.L" TargetMode="External" Id="rId1"/><Relationship Type="http://schemas.openxmlformats.org/officeDocument/2006/relationships/hyperlink" Target="https://finance.yahoo.com/quote/ZZ-B.ST" TargetMode="External" Id="rId2"/><Relationship Type="http://schemas.openxmlformats.org/officeDocument/2006/relationships/hyperlink" Target="https://finance.yahoo.com/quote/JMT.LS" TargetMode="External" Id="rId3"/><Relationship Type="http://schemas.openxmlformats.org/officeDocument/2006/relationships/hyperlink" Target="https://finance.yahoo.com/quote/BCRX" TargetMode="External" Id="rId4"/><Relationship Type="http://schemas.openxmlformats.org/officeDocument/2006/relationships/hyperlink" Target="https://finance.yahoo.com/quote/UROY" TargetMode="External" Id="rId5"/><Relationship Type="http://schemas.openxmlformats.org/officeDocument/2006/relationships/hyperlink" Target="https://finance.yahoo.com/quote/WIHL.ST" TargetMode="External" Id="rId6"/><Relationship Type="http://schemas.openxmlformats.org/officeDocument/2006/relationships/hyperlink" Target="https://finance.yahoo.com/quote/APP" TargetMode="External" Id="rId7"/><Relationship Type="http://schemas.openxmlformats.org/officeDocument/2006/relationships/hyperlink" Target="https://finance.yahoo.com/quote/ROVI.MC" TargetMode="External" Id="rId8"/><Relationship Type="http://schemas.openxmlformats.org/officeDocument/2006/relationships/hyperlink" Target="https://finance.yahoo.com/quote/RHM.DE" TargetMode="External" Id="rId9"/><Relationship Type="http://schemas.openxmlformats.org/officeDocument/2006/relationships/hyperlink" Target="https://finance.yahoo.com/quote/CDE" TargetMode="External" Id="rId10"/><Relationship Type="http://schemas.openxmlformats.org/officeDocument/2006/relationships/hyperlink" Target="https://finance.yahoo.com/quote/RDDT" TargetMode="External" Id="rId11"/><Relationship Type="http://schemas.openxmlformats.org/officeDocument/2006/relationships/hyperlink" Target="https://finance.yahoo.com/quote/SNDK" TargetMode="External" Id="rId12"/><Relationship Type="http://schemas.openxmlformats.org/officeDocument/2006/relationships/hyperlink" Target="https://finance.yahoo.com/quote/AU" TargetMode="External" Id="rId13"/><Relationship Type="http://schemas.openxmlformats.org/officeDocument/2006/relationships/hyperlink" Target="https://finance.yahoo.com/quote/ALNY" TargetMode="External" Id="rId14"/><Relationship Type="http://schemas.openxmlformats.org/officeDocument/2006/relationships/hyperlink" Target="https://finance.yahoo.com/quote/LOGI-B.ST" TargetMode="External" Id="rId15"/><Relationship Type="http://schemas.openxmlformats.org/officeDocument/2006/relationships/hyperlink" Target="https://finance.yahoo.com/quote/CELH" TargetMode="External" Id="rId16"/><Relationship Type="http://schemas.openxmlformats.org/officeDocument/2006/relationships/hyperlink" Target="https://finance.yahoo.com/quote/AIP" TargetMode="External" Id="rId17"/><Relationship Type="http://schemas.openxmlformats.org/officeDocument/2006/relationships/hyperlink" Target="https://finance.yahoo.com/quote/VRT" TargetMode="External" Id="rId18"/><Relationship Type="http://schemas.openxmlformats.org/officeDocument/2006/relationships/hyperlink" Target="https://finance.yahoo.com/quote/IRWD" TargetMode="External" Id="rId19"/><Relationship Type="http://schemas.openxmlformats.org/officeDocument/2006/relationships/hyperlink" Target="https://finance.yahoo.com/quote/KER.PA" TargetMode="External" Id="rId20"/><Relationship Type="http://schemas.openxmlformats.org/officeDocument/2006/relationships/table" Target="/xl/tables/table3.xml" Id="rId21"/></Relationships>
</file>

<file path=xl/worksheets/sheet1.xml><?xml version="1.0" encoding="utf-8"?>
<worksheet xmlns="http://schemas.openxmlformats.org/spreadsheetml/2006/main">
  <sheetPr>
    <outlinePr summaryBelow="1" summaryRight="1"/>
    <pageSetUpPr/>
  </sheetPr>
  <dimension ref="A1:V81"/>
  <sheetViews>
    <sheetView topLeftCell="B1" workbookViewId="0">
      <pane ySplit="1" topLeftCell="A2" activePane="bottomLeft" state="frozen"/>
      <selection pane="bottomLeft" activeCell="F1" sqref="F1"/>
    </sheetView>
  </sheetViews>
  <sheetFormatPr baseColWidth="8" defaultRowHeight="14.4"/>
  <cols>
    <col width="12" customWidth="1" min="1" max="1"/>
    <col width="38" customWidth="1" min="2" max="2"/>
    <col hidden="1" width="22" customWidth="1" min="3" max="3"/>
    <col width="18" customWidth="1" min="4" max="4"/>
    <col width="13" customWidth="1" min="5" max="5"/>
    <col width="15" customWidth="1" min="6" max="6"/>
    <col hidden="1" width="16" customWidth="1" min="7" max="7"/>
    <col width="12" customWidth="1" min="8" max="8"/>
    <col hidden="1" width="16" customWidth="1" min="9" max="10"/>
    <col hidden="1" width="16" customWidth="1" min="10" max="10"/>
    <col width="17" customWidth="1" min="11" max="11"/>
    <col width="25" customWidth="1" min="12" max="12"/>
    <col width="22" customWidth="1" min="13" max="13"/>
    <col width="18" customWidth="1" min="14" max="14"/>
    <col width="14" customWidth="1" min="15" max="15"/>
    <col width="15" customWidth="1" min="16" max="16"/>
    <col hidden="1" width="14" customWidth="1" min="17" max="17"/>
    <col hidden="1" width="15" customWidth="1" min="18" max="18"/>
    <col hidden="1" width="12" customWidth="1" min="19" max="19"/>
    <col hidden="1" width="24" customWidth="1" min="20" max="20"/>
    <col hidden="1" width="21" customWidth="1" min="21" max="21"/>
    <col width="14" customWidth="1" min="22" max="23"/>
    <col width="17" customWidth="1" min="24" max="24"/>
    <col width="18" customWidth="1" min="25" max="25"/>
    <col width="14" customWidth="1" min="26" max="26"/>
    <col width="18" customWidth="1" min="27" max="114"/>
    <col width="10" customWidth="1" min="115" max="1014"/>
    <col width="11" customWidth="1" min="1015" max="10014"/>
    <col width="12" customWidth="1" min="10015" max="16384"/>
  </cols>
  <sheetData>
    <row r="1" ht="24" customHeight="1">
      <c r="A1" s="78" t="inlineStr">
        <is>
          <t>symbol</t>
        </is>
      </c>
      <c r="B1" s="78" t="inlineStr">
        <is>
          <t>name</t>
        </is>
      </c>
      <c r="C1" s="78" t="inlineStr">
        <is>
          <t>sector</t>
        </is>
      </c>
      <c r="D1" s="78" t="inlineStr">
        <is>
          <t>country</t>
        </is>
      </c>
      <c r="E1" s="78" t="inlineStr">
        <is>
          <t>platform</t>
        </is>
      </c>
      <c r="F1" s="78" t="inlineStr">
        <is>
          <t>purchase_date</t>
        </is>
      </c>
      <c r="G1" s="78" t="inlineStr">
        <is>
          <t>purchase_price</t>
        </is>
      </c>
      <c r="H1" s="78" t="inlineStr">
        <is>
          <t>quantity</t>
        </is>
      </c>
      <c r="I1" s="78" t="inlineStr">
        <is>
          <t>current_price</t>
        </is>
      </c>
      <c r="J1" s="78" t="inlineStr">
        <is>
          <t>market_value</t>
        </is>
      </c>
      <c r="K1" s="78" t="inlineStr">
        <is>
          <t>percent_change</t>
        </is>
      </c>
      <c r="L1" s="78" t="inlineStr">
        <is>
          <t>monthly_percent_change</t>
        </is>
      </c>
      <c r="M1" s="78" t="inlineStr">
        <is>
          <t>avg_monthly_change</t>
        </is>
      </c>
      <c r="N1" s="78" t="inlineStr">
        <is>
          <t>portfolio_weight</t>
        </is>
      </c>
      <c r="O1" s="78" t="inlineStr">
        <is>
          <t>vuaa_return</t>
        </is>
      </c>
      <c r="P1" s="78" t="inlineStr">
        <is>
          <t>excess_return</t>
        </is>
      </c>
      <c r="Q1" s="78" t="inlineStr">
        <is>
          <t>fcf_yield</t>
        </is>
      </c>
      <c r="R1" s="78" t="inlineStr">
        <is>
          <t>fcf_growth</t>
        </is>
      </c>
      <c r="S1" s="78" t="inlineStr">
        <is>
          <t>roic</t>
        </is>
      </c>
      <c r="T1" s="78" t="inlineStr">
        <is>
          <t>forward_revenue_growth</t>
        </is>
      </c>
      <c r="U1" s="78" t="inlineStr">
        <is>
          <t>forward_eps_growth</t>
        </is>
      </c>
      <c r="V1" s="78" t="inlineStr">
        <is>
          <t>final_score</t>
        </is>
      </c>
    </row>
    <row r="2">
      <c r="A2" s="86" t="inlineStr">
        <is>
          <t>VUAA.L</t>
        </is>
      </c>
      <c r="B2" s="87" t="inlineStr">
        <is>
          <t>Vanguard S&amp;P 500 (Acc)</t>
        </is>
      </c>
      <c r="C2" s="86" t="n"/>
      <c r="D2" s="86" t="n"/>
      <c r="E2" s="86" t="inlineStr">
        <is>
          <t>Trading212</t>
        </is>
      </c>
      <c r="F2" s="88" t="n">
        <v>46224</v>
      </c>
      <c r="G2" s="145" t="n">
        <v>126.56</v>
      </c>
      <c r="H2" s="90" t="n">
        <v>16.14269911</v>
      </c>
      <c r="I2" s="145" t="n">
        <v>134.63</v>
      </c>
      <c r="J2" s="145" t="n">
        <v>2173.29</v>
      </c>
      <c r="K2" s="91" t="n">
        <v>6.38</v>
      </c>
      <c r="L2" s="91" t="n">
        <v>1.72</v>
      </c>
      <c r="M2" s="91" t="n">
        <v>3.19</v>
      </c>
      <c r="N2" s="91" t="n">
        <v>2.24</v>
      </c>
      <c r="O2" s="91" t="n">
        <v>5.99</v>
      </c>
      <c r="P2" s="91" t="n">
        <v>0.39</v>
      </c>
      <c r="Q2" s="91" t="n"/>
      <c r="R2" s="91" t="n"/>
      <c r="S2" s="91" t="n"/>
      <c r="T2" s="91" t="n"/>
      <c r="U2" s="91" t="n"/>
      <c r="V2" s="92" t="n"/>
    </row>
    <row r="3">
      <c r="A3" s="79" t="inlineStr">
        <is>
          <t>BSX</t>
        </is>
      </c>
      <c r="B3" s="80" t="inlineStr">
        <is>
          <t>Boston Scientific</t>
        </is>
      </c>
      <c r="C3" s="79" t="inlineStr">
        <is>
          <t>Healthcare</t>
        </is>
      </c>
      <c r="D3" s="79" t="inlineStr">
        <is>
          <t>United States</t>
        </is>
      </c>
      <c r="E3" s="79" t="inlineStr">
        <is>
          <t>Trading212</t>
        </is>
      </c>
      <c r="F3" s="81" t="n">
        <v>46261</v>
      </c>
      <c r="G3" s="144" t="n">
        <v>40.46</v>
      </c>
      <c r="H3" s="83" t="n">
        <v>47</v>
      </c>
      <c r="I3" s="144" t="n">
        <v>37.7</v>
      </c>
      <c r="J3" s="144" t="n">
        <v>1771.9</v>
      </c>
      <c r="K3" s="84" t="n">
        <v>-6.82</v>
      </c>
      <c r="L3" s="84" t="n">
        <v>-5.6</v>
      </c>
      <c r="M3" s="84" t="n">
        <v>-6.82</v>
      </c>
      <c r="N3" s="84" t="n">
        <v>1.82</v>
      </c>
      <c r="O3" s="84" t="n">
        <v>5.03</v>
      </c>
      <c r="P3" s="84" t="n">
        <v>-11.85</v>
      </c>
      <c r="Q3" s="84" t="n">
        <v>5.53</v>
      </c>
      <c r="R3" s="84" t="n">
        <v>43.93</v>
      </c>
      <c r="S3" s="84" t="n">
        <v>9.550000000000001</v>
      </c>
      <c r="T3" s="84" t="n">
        <v>5.16</v>
      </c>
      <c r="U3" s="84" t="n">
        <v>4.37</v>
      </c>
      <c r="V3" s="85" t="n">
        <v>53.29</v>
      </c>
    </row>
    <row r="4">
      <c r="A4" s="79" t="inlineStr">
        <is>
          <t>NVDA</t>
        </is>
      </c>
      <c r="B4" s="80" t="inlineStr">
        <is>
          <t>Nvidia</t>
        </is>
      </c>
      <c r="C4" s="79" t="inlineStr">
        <is>
          <t>Technology</t>
        </is>
      </c>
      <c r="D4" s="79" t="inlineStr">
        <is>
          <t>United States</t>
        </is>
      </c>
      <c r="E4" s="79" t="inlineStr">
        <is>
          <t>Trading212</t>
        </is>
      </c>
      <c r="F4" s="81" t="n">
        <v>46301</v>
      </c>
      <c r="G4" s="144" t="n">
        <v>215.24</v>
      </c>
      <c r="H4" s="83" t="n">
        <v>5.87721214</v>
      </c>
      <c r="I4" s="144" t="n">
        <v>215.19</v>
      </c>
      <c r="J4" s="144" t="n">
        <v>1264.72</v>
      </c>
      <c r="K4" s="84" t="n">
        <v>-0.02</v>
      </c>
      <c r="L4" s="84" t="n">
        <v>7.31</v>
      </c>
      <c r="M4" s="84" t="n">
        <v>-0.02</v>
      </c>
      <c r="N4" s="84" t="n">
        <v>1.3</v>
      </c>
      <c r="O4" s="84" t="n">
        <v>0</v>
      </c>
      <c r="P4" s="84" t="n">
        <v>-0.02</v>
      </c>
      <c r="Q4" s="84" t="n">
        <v>1.65</v>
      </c>
      <c r="R4" s="84" t="n">
        <v>58.87</v>
      </c>
      <c r="S4" s="84" t="n">
        <v>66.77</v>
      </c>
      <c r="T4" s="84" t="n">
        <v>67</v>
      </c>
      <c r="U4" s="84" t="n">
        <v>69.66</v>
      </c>
      <c r="V4" s="85" t="n">
        <v>75.19</v>
      </c>
    </row>
    <row r="5">
      <c r="A5" s="79" t="inlineStr">
        <is>
          <t>EGLN.L</t>
        </is>
      </c>
      <c r="B5" s="80" t="inlineStr">
        <is>
          <t>iShares Physical Gold</t>
        </is>
      </c>
      <c r="C5" s="79" t="n"/>
      <c r="D5" s="79" t="n"/>
      <c r="E5" s="79" t="inlineStr">
        <is>
          <t>Trading212</t>
        </is>
      </c>
      <c r="F5" s="81" t="n">
        <v>45621</v>
      </c>
      <c r="G5" s="144" t="n">
        <v>81.17</v>
      </c>
      <c r="H5" s="83" t="n">
        <v>17.014908</v>
      </c>
      <c r="I5" s="144" t="n">
        <v>71.70999999999999</v>
      </c>
      <c r="J5" s="144" t="n">
        <v>1220.14</v>
      </c>
      <c r="K5" s="84" t="n">
        <v>-11.65</v>
      </c>
      <c r="L5" s="84" t="n">
        <v>-2.83</v>
      </c>
      <c r="M5" s="84" t="n">
        <v>-0.53</v>
      </c>
      <c r="N5" s="84" t="n">
        <v>1.26</v>
      </c>
      <c r="O5" s="84" t="n">
        <v>23.85</v>
      </c>
      <c r="P5" s="84" t="n">
        <v>-35.5</v>
      </c>
      <c r="Q5" s="84" t="n"/>
      <c r="R5" s="84" t="n"/>
      <c r="S5" s="84" t="n"/>
      <c r="T5" s="84" t="n"/>
      <c r="U5" s="84" t="n"/>
      <c r="V5" s="85" t="n"/>
    </row>
    <row r="6">
      <c r="A6" s="86" t="inlineStr">
        <is>
          <t>ROP</t>
        </is>
      </c>
      <c r="B6" s="87" t="inlineStr">
        <is>
          <t>Roper Technologies</t>
        </is>
      </c>
      <c r="C6" s="86" t="inlineStr">
        <is>
          <t>Technology</t>
        </is>
      </c>
      <c r="D6" s="86" t="inlineStr">
        <is>
          <t>United States</t>
        </is>
      </c>
      <c r="E6" s="86" t="inlineStr">
        <is>
          <t>Trading212</t>
        </is>
      </c>
      <c r="F6" s="88" t="n">
        <v>46293</v>
      </c>
      <c r="G6" s="145" t="n">
        <v>309.27</v>
      </c>
      <c r="H6" s="90" t="n">
        <v>4.47586725</v>
      </c>
      <c r="I6" s="145" t="n">
        <v>322.96</v>
      </c>
      <c r="J6" s="145" t="n">
        <v>1445.53</v>
      </c>
      <c r="K6" s="91" t="n">
        <v>4.43</v>
      </c>
      <c r="L6" s="91" t="n">
        <v>-8.06</v>
      </c>
      <c r="M6" s="91" t="n">
        <v>4.43</v>
      </c>
      <c r="N6" s="91" t="n">
        <v>1.49</v>
      </c>
      <c r="O6" s="91" t="n">
        <v>3</v>
      </c>
      <c r="P6" s="91" t="n">
        <v>1.43</v>
      </c>
      <c r="Q6" s="91" t="n">
        <v>6.77</v>
      </c>
      <c r="R6" s="91" t="n">
        <v>6.72</v>
      </c>
      <c r="S6" s="91" t="n">
        <v>6.08</v>
      </c>
      <c r="T6" s="91" t="n">
        <v>6.31</v>
      </c>
      <c r="U6" s="91" t="n">
        <v>9.73</v>
      </c>
      <c r="V6" s="92" t="n">
        <v>39.02</v>
      </c>
    </row>
    <row r="7">
      <c r="A7" s="79" t="inlineStr">
        <is>
          <t>BCRX</t>
        </is>
      </c>
      <c r="B7" s="80" t="inlineStr">
        <is>
          <t>BioCryst Pharmaceuticals</t>
        </is>
      </c>
      <c r="C7" s="79" t="inlineStr">
        <is>
          <t>Healthcare</t>
        </is>
      </c>
      <c r="D7" s="79" t="inlineStr">
        <is>
          <t>United States</t>
        </is>
      </c>
      <c r="E7" s="79" t="inlineStr">
        <is>
          <t>Trading212</t>
        </is>
      </c>
      <c r="F7" s="81" t="n">
        <v>46300</v>
      </c>
      <c r="G7" s="144" t="n">
        <v>7.36</v>
      </c>
      <c r="H7" s="83" t="n">
        <v>190</v>
      </c>
      <c r="I7" s="144" t="n">
        <v>7.12</v>
      </c>
      <c r="J7" s="144" t="n">
        <v>1352.8</v>
      </c>
      <c r="K7" s="84" t="n">
        <v>-3.26</v>
      </c>
      <c r="L7" s="84" t="n">
        <v>-11.69</v>
      </c>
      <c r="M7" s="84" t="n">
        <v>-3.26</v>
      </c>
      <c r="N7" s="84" t="n">
        <v>1.39</v>
      </c>
      <c r="O7" s="84" t="n">
        <v>-0.04</v>
      </c>
      <c r="P7" s="84" t="n">
        <v>-3.22</v>
      </c>
      <c r="Q7" s="84" t="n">
        <v>16.85</v>
      </c>
      <c r="R7" s="84" t="n"/>
      <c r="S7" s="84" t="n">
        <v>109.22</v>
      </c>
      <c r="T7" s="84" t="n">
        <v>4.02</v>
      </c>
      <c r="U7" s="84" t="n">
        <v>26.17</v>
      </c>
      <c r="V7" s="85" t="n">
        <v>87.43000000000001</v>
      </c>
    </row>
    <row r="8">
      <c r="A8" s="86" t="inlineStr">
        <is>
          <t>SXR8.DE</t>
        </is>
      </c>
      <c r="B8" s="87" t="inlineStr">
        <is>
          <t>iShares Core S&amp;P 500 (Acc)</t>
        </is>
      </c>
      <c r="C8" s="86" t="n"/>
      <c r="D8" s="86" t="n"/>
      <c r="E8" s="86" t="inlineStr">
        <is>
          <t>Trading212</t>
        </is>
      </c>
      <c r="F8" s="88" t="n">
        <v>45621</v>
      </c>
      <c r="G8" s="145" t="n">
        <v>596.48</v>
      </c>
      <c r="H8" s="90" t="n">
        <v>0.828825</v>
      </c>
      <c r="I8" s="145" t="n">
        <v>750.91</v>
      </c>
      <c r="J8" s="145" t="n">
        <v>622.37</v>
      </c>
      <c r="K8" s="91" t="n">
        <v>25.89</v>
      </c>
      <c r="L8" s="91" t="n">
        <v>5.11</v>
      </c>
      <c r="M8" s="91" t="n">
        <v>1.18</v>
      </c>
      <c r="N8" s="91" t="n">
        <v>0.64</v>
      </c>
      <c r="O8" s="91" t="n">
        <v>23.85</v>
      </c>
      <c r="P8" s="91" t="n">
        <v>2.04</v>
      </c>
      <c r="Q8" s="91" t="n"/>
      <c r="R8" s="91" t="n"/>
      <c r="S8" s="91" t="n"/>
      <c r="T8" s="91" t="n"/>
      <c r="U8" s="91" t="n"/>
      <c r="V8" s="92" t="n"/>
    </row>
    <row r="9">
      <c r="A9" s="86" t="inlineStr">
        <is>
          <t>RDDT</t>
        </is>
      </c>
      <c r="B9" s="87" t="inlineStr">
        <is>
          <t>Reddit</t>
        </is>
      </c>
      <c r="C9" s="86" t="inlineStr">
        <is>
          <t>Communication Services</t>
        </is>
      </c>
      <c r="D9" s="86" t="inlineStr">
        <is>
          <t>United States</t>
        </is>
      </c>
      <c r="E9" s="86" t="inlineStr">
        <is>
          <t>Trading212</t>
        </is>
      </c>
      <c r="F9" s="88" t="n">
        <v>46300</v>
      </c>
      <c r="G9" s="145" t="n">
        <v>132.54</v>
      </c>
      <c r="H9" s="90" t="n">
        <v>12</v>
      </c>
      <c r="I9" s="145" t="n">
        <v>133.39</v>
      </c>
      <c r="J9" s="145" t="n">
        <v>1600.68</v>
      </c>
      <c r="K9" s="91" t="n">
        <v>0.64</v>
      </c>
      <c r="L9" s="91" t="n">
        <v>0.26</v>
      </c>
      <c r="M9" s="91" t="n">
        <v>0.64</v>
      </c>
      <c r="N9" s="91" t="n">
        <v>1.65</v>
      </c>
      <c r="O9" s="91" t="n">
        <v>-0.04</v>
      </c>
      <c r="P9" s="91" t="n">
        <v>0.68</v>
      </c>
      <c r="Q9" s="91" t="n">
        <v>2.37</v>
      </c>
      <c r="R9" s="91" t="n">
        <v>217.01</v>
      </c>
      <c r="S9" s="91" t="n">
        <v>15.09</v>
      </c>
      <c r="T9" s="91" t="n">
        <v>31.81</v>
      </c>
      <c r="U9" s="91" t="n">
        <v>31.42</v>
      </c>
      <c r="V9" s="92" t="n">
        <v>67.41</v>
      </c>
    </row>
    <row r="10">
      <c r="A10" s="86" t="inlineStr">
        <is>
          <t>ADBE</t>
        </is>
      </c>
      <c r="B10" s="87" t="inlineStr">
        <is>
          <t>Adobe</t>
        </is>
      </c>
      <c r="C10" s="86" t="inlineStr">
        <is>
          <t>Technology</t>
        </is>
      </c>
      <c r="D10" s="86" t="inlineStr">
        <is>
          <t>United States</t>
        </is>
      </c>
      <c r="E10" s="86" t="inlineStr">
        <is>
          <t>Trading212</t>
        </is>
      </c>
      <c r="F10" s="88" t="n">
        <v>46170</v>
      </c>
      <c r="G10" s="145" t="n">
        <v>206.93</v>
      </c>
      <c r="H10" s="90" t="n">
        <v>5.95313343</v>
      </c>
      <c r="I10" s="145" t="n">
        <v>211.83</v>
      </c>
      <c r="J10" s="145" t="n">
        <v>1261.05</v>
      </c>
      <c r="K10" s="91" t="n">
        <v>2.37</v>
      </c>
      <c r="L10" s="91" t="n">
        <v>-7.26</v>
      </c>
      <c r="M10" s="91" t="n">
        <v>0.59</v>
      </c>
      <c r="N10" s="91" t="n">
        <v>1.3</v>
      </c>
      <c r="O10" s="91" t="n">
        <v>7.23</v>
      </c>
      <c r="P10" s="91" t="n">
        <v>-4.86</v>
      </c>
      <c r="Q10" s="91" t="n">
        <v>10.62</v>
      </c>
      <c r="R10" s="91" t="n">
        <v>25.14</v>
      </c>
      <c r="S10" s="91" t="n">
        <v>39.85</v>
      </c>
      <c r="T10" s="91" t="n">
        <v>9.18</v>
      </c>
      <c r="U10" s="91" t="n">
        <v>13.04</v>
      </c>
      <c r="V10" s="92" t="n">
        <v>82.39</v>
      </c>
    </row>
    <row r="11">
      <c r="A11" s="79" t="inlineStr">
        <is>
          <t>DECK</t>
        </is>
      </c>
      <c r="B11" s="80" t="inlineStr">
        <is>
          <t>Deckers Outdoor</t>
        </is>
      </c>
      <c r="C11" s="79" t="inlineStr">
        <is>
          <t>Consumer Cyclical</t>
        </is>
      </c>
      <c r="D11" s="79" t="inlineStr">
        <is>
          <t>United States</t>
        </is>
      </c>
      <c r="E11" s="79" t="inlineStr">
        <is>
          <t>Trading212</t>
        </is>
      </c>
      <c r="F11" s="81" t="n">
        <v>46260</v>
      </c>
      <c r="G11" s="144" t="n">
        <v>76.27</v>
      </c>
      <c r="H11" s="83" t="n">
        <v>23</v>
      </c>
      <c r="I11" s="144" t="n">
        <v>72.31999999999999</v>
      </c>
      <c r="J11" s="144" t="n">
        <v>1663.36</v>
      </c>
      <c r="K11" s="84" t="n">
        <v>-5.18</v>
      </c>
      <c r="L11" s="84" t="n">
        <v>-1.44</v>
      </c>
      <c r="M11" s="84" t="n">
        <v>-5.18</v>
      </c>
      <c r="N11" s="84" t="n">
        <v>1.71</v>
      </c>
      <c r="O11" s="84" t="n">
        <v>5.92</v>
      </c>
      <c r="P11" s="84" t="n">
        <v>-11.1</v>
      </c>
      <c r="Q11" s="84" t="n">
        <v>9.9</v>
      </c>
      <c r="R11" s="84" t="n">
        <v>14.5</v>
      </c>
      <c r="S11" s="84" t="n">
        <v>39.01</v>
      </c>
      <c r="T11" s="84" t="n">
        <v>7.23</v>
      </c>
      <c r="U11" s="84" t="n">
        <v>11.16</v>
      </c>
      <c r="V11" s="85" t="n">
        <v>81.92</v>
      </c>
    </row>
    <row r="12">
      <c r="A12" s="86" t="inlineStr">
        <is>
          <t>IMMR</t>
        </is>
      </c>
      <c r="B12" s="87" t="inlineStr">
        <is>
          <t>Immersion</t>
        </is>
      </c>
      <c r="C12" s="86" t="inlineStr">
        <is>
          <t>Technology</t>
        </is>
      </c>
      <c r="D12" s="86" t="inlineStr">
        <is>
          <t>United States</t>
        </is>
      </c>
      <c r="E12" s="86" t="inlineStr">
        <is>
          <t>Trading212</t>
        </is>
      </c>
      <c r="F12" s="88" t="n">
        <v>45922</v>
      </c>
      <c r="G12" s="145" t="n">
        <v>6.26</v>
      </c>
      <c r="H12" s="90" t="n">
        <v>150</v>
      </c>
      <c r="I12" s="145" t="n">
        <v>6.46</v>
      </c>
      <c r="J12" s="145" t="n">
        <v>969</v>
      </c>
      <c r="K12" s="91" t="n">
        <v>3.19</v>
      </c>
      <c r="L12" s="91" t="n">
        <v>-4.62</v>
      </c>
      <c r="M12" s="91" t="n">
        <v>0.27</v>
      </c>
      <c r="N12" s="91" t="n">
        <v>1</v>
      </c>
      <c r="O12" s="91" t="n">
        <v>23.45</v>
      </c>
      <c r="P12" s="91" t="n">
        <v>-20.26</v>
      </c>
      <c r="Q12" s="91" t="n">
        <v>17.74</v>
      </c>
      <c r="R12" s="91" t="n"/>
      <c r="S12" s="91" t="n">
        <v>2.71</v>
      </c>
      <c r="T12" s="91" t="n"/>
      <c r="U12" s="91" t="n"/>
      <c r="V12" s="92" t="n">
        <v>52.17</v>
      </c>
    </row>
    <row r="13">
      <c r="A13" s="93" t="inlineStr">
        <is>
          <t>RKLB</t>
        </is>
      </c>
      <c r="B13" s="94" t="inlineStr">
        <is>
          <t>Rocket Lab</t>
        </is>
      </c>
      <c r="C13" s="93" t="inlineStr">
        <is>
          <t>Industrials</t>
        </is>
      </c>
      <c r="D13" s="93" t="inlineStr">
        <is>
          <t>United States</t>
        </is>
      </c>
      <c r="E13" s="93" t="inlineStr">
        <is>
          <t>Trading212</t>
        </is>
      </c>
      <c r="F13" s="95" t="n">
        <v>46262</v>
      </c>
      <c r="G13" s="146" t="n">
        <v>56.32</v>
      </c>
      <c r="H13" s="97" t="n">
        <v>26</v>
      </c>
      <c r="I13" s="146" t="n">
        <v>67.28</v>
      </c>
      <c r="J13" s="146" t="n">
        <v>1749.28</v>
      </c>
      <c r="K13" s="98" t="n">
        <v>19.46</v>
      </c>
      <c r="L13" s="98" t="n">
        <v>14.91</v>
      </c>
      <c r="M13" s="98" t="n">
        <v>19.46</v>
      </c>
      <c r="N13" s="98" t="n">
        <v>1.8</v>
      </c>
      <c r="O13" s="98" t="n">
        <v>4.48</v>
      </c>
      <c r="P13" s="98" t="n">
        <v>14.98</v>
      </c>
      <c r="Q13" s="98" t="n">
        <v>-0.67</v>
      </c>
      <c r="R13" s="98" t="n"/>
      <c r="S13" s="98" t="n">
        <v>-12.2</v>
      </c>
      <c r="T13" s="98" t="n">
        <v>41.62</v>
      </c>
      <c r="U13" s="98" t="n">
        <v>68.11</v>
      </c>
      <c r="V13" s="99" t="n">
        <v>35.45</v>
      </c>
    </row>
    <row r="14">
      <c r="A14" s="93" t="inlineStr">
        <is>
          <t>CRDO</t>
        </is>
      </c>
      <c r="B14" s="94" t="inlineStr">
        <is>
          <t>Credo Technology</t>
        </is>
      </c>
      <c r="C14" s="93" t="inlineStr">
        <is>
          <t>Technology</t>
        </is>
      </c>
      <c r="D14" s="93" t="inlineStr">
        <is>
          <t>Cayman Islands</t>
        </is>
      </c>
      <c r="E14" s="93" t="inlineStr">
        <is>
          <t>Trading212</t>
        </is>
      </c>
      <c r="F14" s="95" t="n">
        <v>46267</v>
      </c>
      <c r="G14" s="146" t="n">
        <v>145.8</v>
      </c>
      <c r="H14" s="97" t="n">
        <v>0.6</v>
      </c>
      <c r="I14" s="146" t="n">
        <v>198.35</v>
      </c>
      <c r="J14" s="146" t="n">
        <v>119.01</v>
      </c>
      <c r="K14" s="98" t="n">
        <v>36.04</v>
      </c>
      <c r="L14" s="98" t="n">
        <v>33</v>
      </c>
      <c r="M14" s="98" t="n">
        <v>36.04</v>
      </c>
      <c r="N14" s="98" t="n">
        <v>0.12</v>
      </c>
      <c r="O14" s="98" t="n">
        <v>5.09</v>
      </c>
      <c r="P14" s="98" t="n">
        <v>30.95</v>
      </c>
      <c r="Q14" s="98" t="n">
        <v>0.97</v>
      </c>
      <c r="R14" s="98" t="n">
        <v>1302.37</v>
      </c>
      <c r="S14" s="98" t="n">
        <v>21.42</v>
      </c>
      <c r="T14" s="98" t="n">
        <v>54.8</v>
      </c>
      <c r="U14" s="98" t="n">
        <v>53.66</v>
      </c>
      <c r="V14" s="99" t="n">
        <v>68.48</v>
      </c>
    </row>
    <row r="15">
      <c r="A15" s="100" t="inlineStr">
        <is>
          <t>OPHC</t>
        </is>
      </c>
      <c r="B15" s="101" t="inlineStr">
        <is>
          <t>OptimumBank</t>
        </is>
      </c>
      <c r="C15" s="100" t="inlineStr">
        <is>
          <t>Financial Services</t>
        </is>
      </c>
      <c r="D15" s="100" t="inlineStr">
        <is>
          <t>United States</t>
        </is>
      </c>
      <c r="E15" s="100" t="inlineStr">
        <is>
          <t>Trading212</t>
        </is>
      </c>
      <c r="F15" s="102" t="n">
        <v>45922</v>
      </c>
      <c r="G15" s="147" t="n">
        <v>3.58</v>
      </c>
      <c r="H15" s="104" t="n">
        <v>145</v>
      </c>
      <c r="I15" s="147" t="n">
        <v>7.71</v>
      </c>
      <c r="J15" s="147" t="n">
        <v>1117.95</v>
      </c>
      <c r="K15" s="105" t="n">
        <v>115.36</v>
      </c>
      <c r="L15" s="105" t="n">
        <v>-3.12</v>
      </c>
      <c r="M15" s="105" t="n">
        <v>9.609999999999999</v>
      </c>
      <c r="N15" s="105" t="n">
        <v>1.15</v>
      </c>
      <c r="O15" s="105" t="n">
        <v>23.45</v>
      </c>
      <c r="P15" s="105" t="n">
        <v>91.91</v>
      </c>
      <c r="Q15" s="105" t="n">
        <v>15.46</v>
      </c>
      <c r="R15" s="105" t="n">
        <v>15.93</v>
      </c>
      <c r="S15" s="105" t="n"/>
      <c r="T15" s="105" t="n"/>
      <c r="U15" s="105" t="n">
        <v>10.2</v>
      </c>
      <c r="V15" s="106" t="n">
        <v>65.26000000000001</v>
      </c>
    </row>
    <row r="16">
      <c r="A16" s="86" t="inlineStr">
        <is>
          <t>EPAM</t>
        </is>
      </c>
      <c r="B16" s="87" t="inlineStr">
        <is>
          <t>EPAM Systems</t>
        </is>
      </c>
      <c r="C16" s="86" t="inlineStr">
        <is>
          <t>Technology</t>
        </is>
      </c>
      <c r="D16" s="86" t="inlineStr">
        <is>
          <t>United States</t>
        </is>
      </c>
      <c r="E16" s="86" t="inlineStr">
        <is>
          <t>Trading212</t>
        </is>
      </c>
      <c r="F16" s="88" t="n">
        <v>46140</v>
      </c>
      <c r="G16" s="145" t="n">
        <v>91.79000000000001</v>
      </c>
      <c r="H16" s="90" t="n">
        <v>22.46</v>
      </c>
      <c r="I16" s="145" t="n">
        <v>97.02</v>
      </c>
      <c r="J16" s="145" t="n">
        <v>2179.07</v>
      </c>
      <c r="K16" s="91" t="n">
        <v>5.7</v>
      </c>
      <c r="L16" s="91" t="n">
        <v>-5.28</v>
      </c>
      <c r="M16" s="91" t="n">
        <v>1.14</v>
      </c>
      <c r="N16" s="91" t="n">
        <v>2.24</v>
      </c>
      <c r="O16" s="91" t="n">
        <v>14.92</v>
      </c>
      <c r="P16" s="91" t="n">
        <v>-9.220000000000001</v>
      </c>
      <c r="Q16" s="91" t="n">
        <v>10.89</v>
      </c>
      <c r="R16" s="91" t="n">
        <v>16.26</v>
      </c>
      <c r="S16" s="91" t="n">
        <v>10.49</v>
      </c>
      <c r="T16" s="91" t="n">
        <v>3.57</v>
      </c>
      <c r="U16" s="91" t="n">
        <v>6.91</v>
      </c>
      <c r="V16" s="92" t="n">
        <v>57.66</v>
      </c>
    </row>
    <row r="17">
      <c r="A17" s="79" t="inlineStr">
        <is>
          <t>NNE</t>
        </is>
      </c>
      <c r="B17" s="80" t="inlineStr">
        <is>
          <t>NANO Nuclear Energy</t>
        </is>
      </c>
      <c r="C17" s="79" t="inlineStr">
        <is>
          <t>Industrials</t>
        </is>
      </c>
      <c r="D17" s="79" t="inlineStr">
        <is>
          <t>United States</t>
        </is>
      </c>
      <c r="E17" s="79" t="inlineStr">
        <is>
          <t>Trading212</t>
        </is>
      </c>
      <c r="F17" s="81" t="n">
        <v>45621</v>
      </c>
      <c r="G17" s="144" t="n">
        <v>23.74</v>
      </c>
      <c r="H17" s="83" t="n">
        <v>204.17081927</v>
      </c>
      <c r="I17" s="144" t="n">
        <v>14.98</v>
      </c>
      <c r="J17" s="144" t="n">
        <v>3058.48</v>
      </c>
      <c r="K17" s="84" t="n">
        <v>-36.9</v>
      </c>
      <c r="L17" s="84" t="n">
        <v>-13.02</v>
      </c>
      <c r="M17" s="84" t="n">
        <v>-1.68</v>
      </c>
      <c r="N17" s="84" t="n">
        <v>3.15</v>
      </c>
      <c r="O17" s="84" t="n">
        <v>23.85</v>
      </c>
      <c r="P17" s="84" t="n">
        <v>-60.75</v>
      </c>
      <c r="Q17" s="84" t="n">
        <v>-4.13</v>
      </c>
      <c r="R17" s="84" t="n"/>
      <c r="S17" s="84" t="n">
        <v>-20.22</v>
      </c>
      <c r="T17" s="84" t="n">
        <v>459.93</v>
      </c>
      <c r="U17" s="84" t="n">
        <v>-55.06</v>
      </c>
      <c r="V17" s="85" t="n">
        <v>15</v>
      </c>
    </row>
    <row r="18">
      <c r="A18" s="86" t="inlineStr">
        <is>
          <t>APP</t>
        </is>
      </c>
      <c r="B18" s="87" t="inlineStr">
        <is>
          <t>AppLovin</t>
        </is>
      </c>
      <c r="C18" s="86" t="inlineStr">
        <is>
          <t>Communication Services</t>
        </is>
      </c>
      <c r="D18" s="86" t="inlineStr">
        <is>
          <t>United States</t>
        </is>
      </c>
      <c r="E18" s="86" t="inlineStr">
        <is>
          <t>Trading212</t>
        </is>
      </c>
      <c r="F18" s="88" t="n">
        <v>46300</v>
      </c>
      <c r="G18" s="145" t="n">
        <v>241.84</v>
      </c>
      <c r="H18" s="90" t="n">
        <v>9</v>
      </c>
      <c r="I18" s="145" t="n">
        <v>249.86</v>
      </c>
      <c r="J18" s="145" t="n">
        <v>2248.74</v>
      </c>
      <c r="K18" s="91" t="n">
        <v>3.32</v>
      </c>
      <c r="L18" s="91" t="n">
        <v>-9.92</v>
      </c>
      <c r="M18" s="91" t="n">
        <v>3.32</v>
      </c>
      <c r="N18" s="91" t="n">
        <v>2.31</v>
      </c>
      <c r="O18" s="91" t="n">
        <v>-0.04</v>
      </c>
      <c r="P18" s="91" t="n">
        <v>3.36</v>
      </c>
      <c r="Q18" s="91" t="n">
        <v>4.2</v>
      </c>
      <c r="R18" s="91" t="n">
        <v>90.15000000000001</v>
      </c>
      <c r="S18" s="91" t="n">
        <v>63.85</v>
      </c>
      <c r="T18" s="91" t="n">
        <v>26.56</v>
      </c>
      <c r="U18" s="91" t="n">
        <v>27.72</v>
      </c>
      <c r="V18" s="92" t="n">
        <v>79.43000000000001</v>
      </c>
    </row>
    <row r="19">
      <c r="A19" s="93" t="inlineStr">
        <is>
          <t>PTC</t>
        </is>
      </c>
      <c r="B19" s="94" t="inlineStr">
        <is>
          <t>PTC</t>
        </is>
      </c>
      <c r="C19" s="93" t="inlineStr">
        <is>
          <t>Technology</t>
        </is>
      </c>
      <c r="D19" s="93" t="inlineStr">
        <is>
          <t>United States</t>
        </is>
      </c>
      <c r="E19" s="93" t="inlineStr">
        <is>
          <t>Trading212</t>
        </is>
      </c>
      <c r="F19" s="95" t="n">
        <v>46273</v>
      </c>
      <c r="G19" s="146" t="n">
        <v>120.3</v>
      </c>
      <c r="H19" s="97" t="n">
        <v>0.1</v>
      </c>
      <c r="I19" s="146" t="n">
        <v>171.5</v>
      </c>
      <c r="J19" s="146" t="n">
        <v>17.15</v>
      </c>
      <c r="K19" s="98" t="n">
        <v>42.56</v>
      </c>
      <c r="L19" s="98" t="n">
        <v>44.84</v>
      </c>
      <c r="M19" s="98" t="n">
        <v>42.56</v>
      </c>
      <c r="N19" s="98" t="n">
        <v>0.02</v>
      </c>
      <c r="O19" s="98" t="n">
        <v>5.14</v>
      </c>
      <c r="P19" s="98" t="n">
        <v>37.42</v>
      </c>
      <c r="Q19" s="98" t="n">
        <v>4.09</v>
      </c>
      <c r="R19" s="98" t="n">
        <v>16.46</v>
      </c>
      <c r="S19" s="98" t="n">
        <v>15.85</v>
      </c>
      <c r="T19" s="98" t="n">
        <v>6.38</v>
      </c>
      <c r="U19" s="98" t="n">
        <v>9.199999999999999</v>
      </c>
      <c r="V19" s="99" t="n">
        <v>52.75</v>
      </c>
    </row>
    <row r="20">
      <c r="A20" s="86" t="inlineStr">
        <is>
          <t>CCS</t>
        </is>
      </c>
      <c r="B20" s="87" t="inlineStr">
        <is>
          <t>Century Communities</t>
        </is>
      </c>
      <c r="C20" s="86" t="inlineStr">
        <is>
          <t>Real Estate</t>
        </is>
      </c>
      <c r="D20" s="86" t="inlineStr">
        <is>
          <t>United States</t>
        </is>
      </c>
      <c r="E20" s="86" t="inlineStr">
        <is>
          <t>Trading212</t>
        </is>
      </c>
      <c r="F20" s="88" t="n">
        <v>45775</v>
      </c>
      <c r="G20" s="145" t="n">
        <v>49.93</v>
      </c>
      <c r="H20" s="90" t="n">
        <v>18</v>
      </c>
      <c r="I20" s="145" t="n">
        <v>52.32</v>
      </c>
      <c r="J20" s="145" t="n">
        <v>941.76</v>
      </c>
      <c r="K20" s="91" t="n">
        <v>4.79</v>
      </c>
      <c r="L20" s="91" t="n">
        <v>-5.11</v>
      </c>
      <c r="M20" s="91" t="n">
        <v>0.28</v>
      </c>
      <c r="N20" s="91" t="n">
        <v>0.97</v>
      </c>
      <c r="O20" s="91" t="n">
        <v>45.59</v>
      </c>
      <c r="P20" s="91" t="n">
        <v>-40.8</v>
      </c>
      <c r="Q20" s="91" t="n">
        <v>7.42</v>
      </c>
      <c r="R20" s="91" t="n"/>
      <c r="S20" s="91" t="n">
        <v>3.97</v>
      </c>
      <c r="T20" s="91" t="n">
        <v>3.43</v>
      </c>
      <c r="U20" s="91" t="n">
        <v>-5.56</v>
      </c>
      <c r="V20" s="92" t="n">
        <v>68.26000000000001</v>
      </c>
    </row>
    <row r="21">
      <c r="A21" s="86" t="inlineStr">
        <is>
          <t>CI</t>
        </is>
      </c>
      <c r="B21" s="87" t="inlineStr">
        <is>
          <t>Cigna Group</t>
        </is>
      </c>
      <c r="C21" s="86" t="inlineStr">
        <is>
          <t>Healthcare</t>
        </is>
      </c>
      <c r="D21" s="86" t="inlineStr">
        <is>
          <t>United States</t>
        </is>
      </c>
      <c r="E21" s="86" t="inlineStr">
        <is>
          <t>Trading212</t>
        </is>
      </c>
      <c r="F21" s="88" t="n">
        <v>46141</v>
      </c>
      <c r="G21" s="145" t="n">
        <v>237.04</v>
      </c>
      <c r="H21" s="90" t="n">
        <v>11.7</v>
      </c>
      <c r="I21" s="145" t="n">
        <v>241.75</v>
      </c>
      <c r="J21" s="145" t="n">
        <v>2828.47</v>
      </c>
      <c r="K21" s="91" t="n">
        <v>1.99</v>
      </c>
      <c r="L21" s="91" t="n">
        <v>-1.36</v>
      </c>
      <c r="M21" s="91" t="n">
        <v>0.4</v>
      </c>
      <c r="N21" s="91" t="n">
        <v>2.91</v>
      </c>
      <c r="O21" s="91" t="n">
        <v>14.68</v>
      </c>
      <c r="P21" s="91" t="n">
        <v>-12.69</v>
      </c>
      <c r="Q21" s="91" t="n">
        <v>11.67</v>
      </c>
      <c r="R21" s="91" t="n">
        <v>-6.34</v>
      </c>
      <c r="S21" s="91" t="n">
        <v>9</v>
      </c>
      <c r="T21" s="91" t="n">
        <v>4.08</v>
      </c>
      <c r="U21" s="91" t="n">
        <v>9.75</v>
      </c>
      <c r="V21" s="92" t="n">
        <v>36.76</v>
      </c>
    </row>
    <row r="22">
      <c r="A22" s="86" t="inlineStr">
        <is>
          <t>CVX</t>
        </is>
      </c>
      <c r="B22" s="87" t="inlineStr">
        <is>
          <t>Chevron</t>
        </is>
      </c>
      <c r="C22" s="86" t="inlineStr">
        <is>
          <t>Energy</t>
        </is>
      </c>
      <c r="D22" s="86" t="inlineStr">
        <is>
          <t>United States</t>
        </is>
      </c>
      <c r="E22" s="86" t="inlineStr">
        <is>
          <t>Trading212</t>
        </is>
      </c>
      <c r="F22" s="88" t="n">
        <v>45775</v>
      </c>
      <c r="G22" s="145" t="n">
        <v>134.3</v>
      </c>
      <c r="H22" s="90" t="n">
        <v>8.6406803</v>
      </c>
      <c r="I22" s="145" t="n">
        <v>183.69</v>
      </c>
      <c r="J22" s="145" t="n">
        <v>1587.21</v>
      </c>
      <c r="K22" s="91" t="n">
        <v>36.78</v>
      </c>
      <c r="L22" s="91" t="n">
        <v>-1.39</v>
      </c>
      <c r="M22" s="91" t="n">
        <v>2.16</v>
      </c>
      <c r="N22" s="91" t="n">
        <v>1.63</v>
      </c>
      <c r="O22" s="91" t="n">
        <v>45.59</v>
      </c>
      <c r="P22" s="91" t="n">
        <v>-8.81</v>
      </c>
      <c r="Q22" s="91" t="n">
        <v>4.09</v>
      </c>
      <c r="R22" s="91" t="n">
        <v>10.29</v>
      </c>
      <c r="S22" s="91" t="n">
        <v>4.67</v>
      </c>
      <c r="T22" s="91" t="n">
        <v>-5.08</v>
      </c>
      <c r="U22" s="91" t="n">
        <v>-13.59</v>
      </c>
      <c r="V22" s="92" t="n">
        <v>29.15</v>
      </c>
    </row>
    <row r="23">
      <c r="A23" s="86" t="inlineStr">
        <is>
          <t>BAC</t>
        </is>
      </c>
      <c r="B23" s="87" t="inlineStr">
        <is>
          <t>Bank of America</t>
        </is>
      </c>
      <c r="C23" s="86" t="inlineStr">
        <is>
          <t>Financial Services</t>
        </is>
      </c>
      <c r="D23" s="86" t="inlineStr">
        <is>
          <t>United States</t>
        </is>
      </c>
      <c r="E23" s="86" t="inlineStr">
        <is>
          <t>Trading212</t>
        </is>
      </c>
      <c r="F23" s="88" t="n">
        <v>45775</v>
      </c>
      <c r="G23" s="145" t="n">
        <v>37.05</v>
      </c>
      <c r="H23" s="90" t="n">
        <v>17.45</v>
      </c>
      <c r="I23" s="145" t="n">
        <v>48.09</v>
      </c>
      <c r="J23" s="145" t="n">
        <v>839.17</v>
      </c>
      <c r="K23" s="91" t="n">
        <v>29.8</v>
      </c>
      <c r="L23" s="91" t="n">
        <v>-13.25</v>
      </c>
      <c r="M23" s="91" t="n">
        <v>1.75</v>
      </c>
      <c r="N23" s="91" t="n">
        <v>0.86</v>
      </c>
      <c r="O23" s="91" t="n">
        <v>45.59</v>
      </c>
      <c r="P23" s="91" t="n">
        <v>-15.79</v>
      </c>
      <c r="Q23" s="91" t="n">
        <v>3.33</v>
      </c>
      <c r="R23" s="91" t="n"/>
      <c r="S23" s="91" t="n"/>
      <c r="T23" s="91" t="n">
        <v>5.33</v>
      </c>
      <c r="U23" s="91" t="n">
        <v>13.93</v>
      </c>
      <c r="V23" s="92" t="n">
        <v>57.06</v>
      </c>
    </row>
    <row r="24">
      <c r="A24" s="79" t="inlineStr">
        <is>
          <t>PODD</t>
        </is>
      </c>
      <c r="B24" s="80" t="inlineStr">
        <is>
          <t>Insulet</t>
        </is>
      </c>
      <c r="C24" s="79" t="inlineStr">
        <is>
          <t>Healthcare</t>
        </is>
      </c>
      <c r="D24" s="79" t="inlineStr">
        <is>
          <t>United States</t>
        </is>
      </c>
      <c r="E24" s="79" t="inlineStr">
        <is>
          <t>Trading212</t>
        </is>
      </c>
      <c r="F24" s="81" t="n">
        <v>46254</v>
      </c>
      <c r="G24" s="144" t="n">
        <v>125.22</v>
      </c>
      <c r="H24" s="83" t="n">
        <v>12.9</v>
      </c>
      <c r="I24" s="144" t="n">
        <v>119.87</v>
      </c>
      <c r="J24" s="144" t="n">
        <v>1546.32</v>
      </c>
      <c r="K24" s="84" t="n">
        <v>-4.27</v>
      </c>
      <c r="L24" s="84" t="n">
        <v>-4.97</v>
      </c>
      <c r="M24" s="84" t="n">
        <v>-4.27</v>
      </c>
      <c r="N24" s="84" t="n">
        <v>1.59</v>
      </c>
      <c r="O24" s="84" t="n">
        <v>5.77</v>
      </c>
      <c r="P24" s="84" t="n">
        <v>-10.04</v>
      </c>
      <c r="Q24" s="84" t="n">
        <v>3.73</v>
      </c>
      <c r="R24" s="84" t="n">
        <v>18.13</v>
      </c>
      <c r="S24" s="84" t="n">
        <v>13.99</v>
      </c>
      <c r="T24" s="84" t="n">
        <v>13.68</v>
      </c>
      <c r="U24" s="84" t="n">
        <v>18.47</v>
      </c>
      <c r="V24" s="85" t="n">
        <v>56.09</v>
      </c>
    </row>
    <row r="25">
      <c r="A25" s="107" t="inlineStr">
        <is>
          <t>LVS</t>
        </is>
      </c>
      <c r="B25" s="108" t="inlineStr">
        <is>
          <t>Las Vegas Sands</t>
        </is>
      </c>
      <c r="C25" s="107" t="inlineStr">
        <is>
          <t>Consumer Cyclical</t>
        </is>
      </c>
      <c r="D25" s="107" t="inlineStr">
        <is>
          <t>United States</t>
        </is>
      </c>
      <c r="E25" s="107" t="inlineStr">
        <is>
          <t>Trading212</t>
        </is>
      </c>
      <c r="F25" s="109" t="n">
        <v>46261</v>
      </c>
      <c r="G25" s="148" t="n">
        <v>38.87</v>
      </c>
      <c r="H25" s="111" t="n">
        <v>45</v>
      </c>
      <c r="I25" s="148" t="n">
        <v>32.44</v>
      </c>
      <c r="J25" s="148" t="n">
        <v>1459.8</v>
      </c>
      <c r="K25" s="112" t="n">
        <v>-16.54</v>
      </c>
      <c r="L25" s="112" t="n">
        <v>-17.01</v>
      </c>
      <c r="M25" s="112" t="n">
        <v>-16.54</v>
      </c>
      <c r="N25" s="112" t="n">
        <v>1.5</v>
      </c>
      <c r="O25" s="112" t="n">
        <v>5.03</v>
      </c>
      <c r="P25" s="112" t="n">
        <v>-21.57</v>
      </c>
      <c r="Q25" s="112" t="n">
        <v>7.53</v>
      </c>
      <c r="R25" s="112" t="n">
        <v>9.609999999999999</v>
      </c>
      <c r="S25" s="112" t="n">
        <v>14.99</v>
      </c>
      <c r="T25" s="112" t="n">
        <v>5.48</v>
      </c>
      <c r="U25" s="112" t="n">
        <v>13.59</v>
      </c>
      <c r="V25" s="113" t="n">
        <v>56.08</v>
      </c>
    </row>
    <row r="26">
      <c r="A26" s="86" t="inlineStr">
        <is>
          <t>CAAP</t>
        </is>
      </c>
      <c r="B26" s="87" t="inlineStr">
        <is>
          <t>Corp America Airports</t>
        </is>
      </c>
      <c r="C26" s="86" t="inlineStr">
        <is>
          <t>Industrials</t>
        </is>
      </c>
      <c r="D26" s="86" t="inlineStr">
        <is>
          <t>Luxembourg</t>
        </is>
      </c>
      <c r="E26" s="86" t="inlineStr">
        <is>
          <t>Trading212</t>
        </is>
      </c>
      <c r="F26" s="88" t="n">
        <v>45621</v>
      </c>
      <c r="G26" s="145" t="n">
        <v>17.92</v>
      </c>
      <c r="H26" s="90" t="n">
        <v>28.702979</v>
      </c>
      <c r="I26" s="145" t="n">
        <v>22.71</v>
      </c>
      <c r="J26" s="145" t="n">
        <v>651.84</v>
      </c>
      <c r="K26" s="91" t="n">
        <v>26.73</v>
      </c>
      <c r="L26" s="91" t="n">
        <v>5.84</v>
      </c>
      <c r="M26" s="91" t="n">
        <v>1.22</v>
      </c>
      <c r="N26" s="91" t="n">
        <v>0.67</v>
      </c>
      <c r="O26" s="91" t="n">
        <v>23.85</v>
      </c>
      <c r="P26" s="91" t="n">
        <v>2.88</v>
      </c>
      <c r="Q26" s="91" t="n">
        <v>10.72</v>
      </c>
      <c r="R26" s="91" t="n">
        <v>14.01</v>
      </c>
      <c r="S26" s="91" t="n">
        <v>14.3</v>
      </c>
      <c r="T26" s="91" t="n">
        <v>9.220000000000001</v>
      </c>
      <c r="U26" s="91" t="n">
        <v>18.21</v>
      </c>
      <c r="V26" s="92" t="n">
        <v>66.34999999999999</v>
      </c>
    </row>
    <row r="27">
      <c r="A27" s="79" t="inlineStr">
        <is>
          <t>ALB</t>
        </is>
      </c>
      <c r="B27" s="80" t="inlineStr">
        <is>
          <t>Albemarle</t>
        </is>
      </c>
      <c r="C27" s="79" t="inlineStr">
        <is>
          <t>Basic Materials</t>
        </is>
      </c>
      <c r="D27" s="79" t="inlineStr">
        <is>
          <t>United States</t>
        </is>
      </c>
      <c r="E27" s="79" t="inlineStr">
        <is>
          <t>Trading212</t>
        </is>
      </c>
      <c r="F27" s="81" t="n">
        <v>46273</v>
      </c>
      <c r="G27" s="144" t="n">
        <v>103.64</v>
      </c>
      <c r="H27" s="83" t="n">
        <v>15.1</v>
      </c>
      <c r="I27" s="144" t="n">
        <v>94.34</v>
      </c>
      <c r="J27" s="144" t="n">
        <v>1424.53</v>
      </c>
      <c r="K27" s="84" t="n">
        <v>-8.970000000000001</v>
      </c>
      <c r="L27" s="84" t="n">
        <v>-18.02</v>
      </c>
      <c r="M27" s="84" t="n">
        <v>-8.970000000000001</v>
      </c>
      <c r="N27" s="84" t="n">
        <v>1.47</v>
      </c>
      <c r="O27" s="84" t="n">
        <v>5.14</v>
      </c>
      <c r="P27" s="84" t="n">
        <v>-14.11</v>
      </c>
      <c r="Q27" s="84" t="n">
        <v>5.53</v>
      </c>
      <c r="R27" s="84" t="n"/>
      <c r="S27" s="84" t="n">
        <v>0.64</v>
      </c>
      <c r="T27" s="84" t="n">
        <v>1.72</v>
      </c>
      <c r="U27" s="84" t="n">
        <v>-4.92</v>
      </c>
      <c r="V27" s="85" t="n">
        <v>33.63</v>
      </c>
    </row>
    <row r="28">
      <c r="A28" s="86" t="inlineStr">
        <is>
          <t>SXRU.DE</t>
        </is>
      </c>
      <c r="B28" s="87" t="inlineStr">
        <is>
          <t>iShares Dow Jones Industrial Average (Acc)</t>
        </is>
      </c>
      <c r="C28" s="86" t="n"/>
      <c r="D28" s="86" t="n"/>
      <c r="E28" s="86" t="inlineStr">
        <is>
          <t>Trading212</t>
        </is>
      </c>
      <c r="F28" s="88" t="n">
        <v>45623</v>
      </c>
      <c r="G28" s="145" t="n">
        <v>490.01</v>
      </c>
      <c r="H28" s="90" t="n">
        <v>1.234883</v>
      </c>
      <c r="I28" s="145" t="n">
        <v>559.1</v>
      </c>
      <c r="J28" s="145" t="n">
        <v>690.42</v>
      </c>
      <c r="K28" s="91" t="n">
        <v>14.1</v>
      </c>
      <c r="L28" s="91" t="n">
        <v>0.58</v>
      </c>
      <c r="M28" s="91" t="n">
        <v>0.64</v>
      </c>
      <c r="N28" s="91" t="n">
        <v>0.71</v>
      </c>
      <c r="O28" s="91" t="n">
        <v>23.79</v>
      </c>
      <c r="P28" s="91" t="n">
        <v>-9.69</v>
      </c>
      <c r="Q28" s="91" t="n"/>
      <c r="R28" s="91" t="n"/>
      <c r="S28" s="91" t="n"/>
      <c r="T28" s="91" t="n"/>
      <c r="U28" s="91" t="n"/>
      <c r="V28" s="92" t="n"/>
    </row>
    <row r="29">
      <c r="A29" s="79" t="inlineStr">
        <is>
          <t>RHM.DE</t>
        </is>
      </c>
      <c r="B29" s="80" t="inlineStr">
        <is>
          <t>Rheinmetall</t>
        </is>
      </c>
      <c r="C29" s="79" t="inlineStr">
        <is>
          <t>Industrials</t>
        </is>
      </c>
      <c r="D29" s="79" t="inlineStr">
        <is>
          <t>Germany</t>
        </is>
      </c>
      <c r="E29" s="79" t="inlineStr">
        <is>
          <t>Capital</t>
        </is>
      </c>
      <c r="F29" s="81" t="n">
        <v>46033</v>
      </c>
      <c r="G29" s="144" t="n">
        <v>977.3</v>
      </c>
      <c r="H29" s="83" t="n">
        <v>3.09</v>
      </c>
      <c r="I29" s="144" t="n">
        <v>947.74</v>
      </c>
      <c r="J29" s="144" t="n">
        <v>2928.52</v>
      </c>
      <c r="K29" s="84" t="n">
        <v>-3.02</v>
      </c>
      <c r="L29" s="84" t="n">
        <v>-7.04</v>
      </c>
      <c r="M29" s="84" t="n">
        <v>-0.38</v>
      </c>
      <c r="N29" s="84" t="n">
        <v>3.01</v>
      </c>
      <c r="O29" s="84" t="n">
        <v>13.98</v>
      </c>
      <c r="P29" s="84" t="n">
        <v>-17</v>
      </c>
      <c r="Q29" s="84" t="n">
        <v>3.2</v>
      </c>
      <c r="R29" s="84" t="n">
        <v>43.22</v>
      </c>
      <c r="S29" s="84" t="n">
        <v>21.27</v>
      </c>
      <c r="T29" s="84" t="n">
        <v>33.22</v>
      </c>
      <c r="U29" s="84" t="n">
        <v>43.13</v>
      </c>
      <c r="V29" s="85" t="n">
        <v>78.55</v>
      </c>
    </row>
    <row r="30">
      <c r="A30" s="86" t="inlineStr">
        <is>
          <t>ROP</t>
        </is>
      </c>
      <c r="B30" s="87" t="inlineStr">
        <is>
          <t>Roper Technologies Inc</t>
        </is>
      </c>
      <c r="C30" s="86" t="inlineStr">
        <is>
          <t>Technology</t>
        </is>
      </c>
      <c r="D30" s="86" t="inlineStr">
        <is>
          <t>United States</t>
        </is>
      </c>
      <c r="E30" s="86" t="inlineStr">
        <is>
          <t>Capital</t>
        </is>
      </c>
      <c r="F30" s="88" t="n">
        <v>46293</v>
      </c>
      <c r="G30" s="145" t="n">
        <v>312.8</v>
      </c>
      <c r="H30" s="90" t="n">
        <v>1.6824</v>
      </c>
      <c r="I30" s="145" t="n">
        <v>322.54</v>
      </c>
      <c r="J30" s="145" t="n">
        <v>542.64</v>
      </c>
      <c r="K30" s="91" t="n">
        <v>3.11</v>
      </c>
      <c r="L30" s="91" t="n">
        <v>-8.06</v>
      </c>
      <c r="M30" s="91" t="n">
        <v>3.11</v>
      </c>
      <c r="N30" s="91" t="n">
        <v>0.5600000000000001</v>
      </c>
      <c r="O30" s="91" t="n">
        <v>2.94</v>
      </c>
      <c r="P30" s="91" t="n">
        <v>0.17</v>
      </c>
      <c r="Q30" s="91" t="n">
        <v>6.77</v>
      </c>
      <c r="R30" s="91" t="n">
        <v>6.72</v>
      </c>
      <c r="S30" s="91" t="n">
        <v>6.08</v>
      </c>
      <c r="T30" s="91" t="n">
        <v>6.31</v>
      </c>
      <c r="U30" s="91" t="n">
        <v>9.73</v>
      </c>
      <c r="V30" s="92" t="n">
        <v>39.02</v>
      </c>
    </row>
    <row r="31">
      <c r="A31" s="86" t="inlineStr">
        <is>
          <t>TSLA</t>
        </is>
      </c>
      <c r="B31" s="87" t="inlineStr">
        <is>
          <t>Tesla Inc</t>
        </is>
      </c>
      <c r="C31" s="86" t="inlineStr">
        <is>
          <t>Consumer Cyclical</t>
        </is>
      </c>
      <c r="D31" s="86" t="inlineStr">
        <is>
          <t>United States</t>
        </is>
      </c>
      <c r="E31" s="86" t="inlineStr">
        <is>
          <t>Capital</t>
        </is>
      </c>
      <c r="F31" s="88" t="n">
        <v>45721</v>
      </c>
      <c r="G31" s="145" t="n">
        <v>259.8</v>
      </c>
      <c r="H31" s="90" t="n">
        <v>0.4</v>
      </c>
      <c r="I31" s="145" t="n">
        <v>338.11</v>
      </c>
      <c r="J31" s="145" t="n">
        <v>135.24</v>
      </c>
      <c r="K31" s="91" t="n">
        <v>30.14</v>
      </c>
      <c r="L31" s="91" t="n">
        <v>3.47</v>
      </c>
      <c r="M31" s="91" t="n">
        <v>1.59</v>
      </c>
      <c r="N31" s="91" t="n">
        <v>0.14</v>
      </c>
      <c r="O31" s="91" t="n">
        <v>29.62</v>
      </c>
      <c r="P31" s="91" t="n">
        <v>0.52</v>
      </c>
      <c r="Q31" s="91" t="n">
        <v>0.41</v>
      </c>
      <c r="R31" s="91" t="n">
        <v>73.69</v>
      </c>
      <c r="S31" s="91" t="n">
        <v>3.92</v>
      </c>
      <c r="T31" s="91" t="n">
        <v>13.54</v>
      </c>
      <c r="U31" s="91" t="n">
        <v>24.6</v>
      </c>
      <c r="V31" s="92" t="n">
        <v>53.56</v>
      </c>
    </row>
    <row r="32">
      <c r="A32" s="86" t="inlineStr">
        <is>
          <t>GLD</t>
        </is>
      </c>
      <c r="B32" s="87" t="inlineStr">
        <is>
          <t>SPDR Gold Shares</t>
        </is>
      </c>
      <c r="C32" s="86" t="n"/>
      <c r="D32" s="86" t="n"/>
      <c r="E32" s="86" t="inlineStr">
        <is>
          <t>Capital</t>
        </is>
      </c>
      <c r="F32" s="88" t="n">
        <v>45622</v>
      </c>
      <c r="G32" s="145" t="n">
        <v>232.04</v>
      </c>
      <c r="H32" s="90" t="n">
        <v>3.1</v>
      </c>
      <c r="I32" s="145" t="n">
        <v>338.71</v>
      </c>
      <c r="J32" s="145" t="n">
        <v>1050</v>
      </c>
      <c r="K32" s="91" t="n">
        <v>45.97</v>
      </c>
      <c r="L32" s="91" t="n">
        <v>-4.54</v>
      </c>
      <c r="M32" s="91" t="n">
        <v>2.09</v>
      </c>
      <c r="N32" s="91" t="n">
        <v>1.08</v>
      </c>
      <c r="O32" s="91" t="n">
        <v>22.97</v>
      </c>
      <c r="P32" s="91" t="n">
        <v>23</v>
      </c>
      <c r="Q32" s="91" t="n"/>
      <c r="R32" s="91" t="n"/>
      <c r="S32" s="91" t="n"/>
      <c r="T32" s="91" t="n"/>
      <c r="U32" s="91" t="n"/>
      <c r="V32" s="92" t="n"/>
    </row>
    <row r="33">
      <c r="A33" s="86" t="inlineStr">
        <is>
          <t>ITX.MC</t>
        </is>
      </c>
      <c r="B33" s="87" t="inlineStr">
        <is>
          <t>Inditex</t>
        </is>
      </c>
      <c r="C33" s="86" t="inlineStr">
        <is>
          <t>Consumer Cyclical</t>
        </is>
      </c>
      <c r="D33" s="86" t="inlineStr">
        <is>
          <t>Spain</t>
        </is>
      </c>
      <c r="E33" s="86" t="inlineStr">
        <is>
          <t>Capital</t>
        </is>
      </c>
      <c r="F33" s="88" t="n">
        <v>45757</v>
      </c>
      <c r="G33" s="145" t="n">
        <v>46.77</v>
      </c>
      <c r="H33" s="90" t="n">
        <v>25.9</v>
      </c>
      <c r="I33" s="145" t="n">
        <v>53.78</v>
      </c>
      <c r="J33" s="145" t="n">
        <v>1392.9</v>
      </c>
      <c r="K33" s="91" t="n">
        <v>14.99</v>
      </c>
      <c r="L33" s="91" t="n">
        <v>-6.57</v>
      </c>
      <c r="M33" s="91" t="n">
        <v>0.88</v>
      </c>
      <c r="N33" s="91" t="n">
        <v>1.43</v>
      </c>
      <c r="O33" s="91" t="n">
        <v>46.91</v>
      </c>
      <c r="P33" s="91" t="n">
        <v>-31.92</v>
      </c>
      <c r="Q33" s="91" t="n">
        <v>3.89</v>
      </c>
      <c r="R33" s="91" t="n">
        <v>-1.45</v>
      </c>
      <c r="S33" s="91" t="n">
        <v>30.66</v>
      </c>
      <c r="T33" s="91" t="n">
        <v>7.5</v>
      </c>
      <c r="U33" s="91" t="n">
        <v>9.27</v>
      </c>
      <c r="V33" s="92" t="n">
        <v>53.87</v>
      </c>
    </row>
    <row r="34">
      <c r="A34" s="86" t="inlineStr">
        <is>
          <t>BEI.DE</t>
        </is>
      </c>
      <c r="B34" s="87" t="inlineStr">
        <is>
          <t>Beiersdorf</t>
        </is>
      </c>
      <c r="C34" s="86" t="inlineStr">
        <is>
          <t>Consumer Defensive</t>
        </is>
      </c>
      <c r="D34" s="86" t="inlineStr">
        <is>
          <t>Germany</t>
        </is>
      </c>
      <c r="E34" s="86" t="inlineStr">
        <is>
          <t>Capital</t>
        </is>
      </c>
      <c r="F34" s="88" t="n">
        <v>46139</v>
      </c>
      <c r="G34" s="145" t="n">
        <v>72.2</v>
      </c>
      <c r="H34" s="90" t="n">
        <v>24</v>
      </c>
      <c r="I34" s="145" t="n">
        <v>76.2</v>
      </c>
      <c r="J34" s="145" t="n">
        <v>1828.8</v>
      </c>
      <c r="K34" s="91" t="n">
        <v>5.54</v>
      </c>
      <c r="L34" s="91" t="n">
        <v>0.87</v>
      </c>
      <c r="M34" s="91" t="n">
        <v>1.11</v>
      </c>
      <c r="N34" s="91" t="n">
        <v>1.88</v>
      </c>
      <c r="O34" s="91" t="n">
        <v>14.15</v>
      </c>
      <c r="P34" s="91" t="n">
        <v>-8.609999999999999</v>
      </c>
      <c r="Q34" s="91" t="n">
        <v>1.93</v>
      </c>
      <c r="R34" s="91" t="n">
        <v>-59.45</v>
      </c>
      <c r="S34" s="91" t="n">
        <v>11.21</v>
      </c>
      <c r="T34" s="91" t="n">
        <v>2.81</v>
      </c>
      <c r="U34" s="91" t="n">
        <v>5.29</v>
      </c>
      <c r="V34" s="92" t="n">
        <v>19.53</v>
      </c>
    </row>
    <row r="35">
      <c r="A35" s="86" t="inlineStr">
        <is>
          <t>LDO.MI</t>
        </is>
      </c>
      <c r="B35" s="87" t="inlineStr">
        <is>
          <t>Leonardo</t>
        </is>
      </c>
      <c r="C35" s="86" t="inlineStr">
        <is>
          <t>Industrials</t>
        </is>
      </c>
      <c r="D35" s="86" t="inlineStr">
        <is>
          <t>Italy</t>
        </is>
      </c>
      <c r="E35" s="86" t="inlineStr">
        <is>
          <t>Capital</t>
        </is>
      </c>
      <c r="F35" s="88" t="n">
        <v>45682</v>
      </c>
      <c r="G35" s="145" t="n">
        <v>37.28</v>
      </c>
      <c r="H35" s="90" t="n">
        <v>35</v>
      </c>
      <c r="I35" s="145" t="n">
        <v>47.04</v>
      </c>
      <c r="J35" s="145" t="n">
        <v>1646.4</v>
      </c>
      <c r="K35" s="91" t="n">
        <v>26.18</v>
      </c>
      <c r="L35" s="91" t="n">
        <v>-6.64</v>
      </c>
      <c r="M35" s="91" t="n">
        <v>1.31</v>
      </c>
      <c r="N35" s="91" t="n">
        <v>1.69</v>
      </c>
      <c r="O35" s="91" t="n">
        <v>26.27</v>
      </c>
      <c r="P35" s="91" t="n">
        <v>-0.09</v>
      </c>
      <c r="Q35" s="91" t="n">
        <v>2.72</v>
      </c>
      <c r="R35" s="91" t="n">
        <v>13.62</v>
      </c>
      <c r="S35" s="91" t="n">
        <v>10.29</v>
      </c>
      <c r="T35" s="91" t="n">
        <v>11.15</v>
      </c>
      <c r="U35" s="91" t="n">
        <v>19.94</v>
      </c>
      <c r="V35" s="92" t="n">
        <v>47.4</v>
      </c>
    </row>
    <row r="36">
      <c r="A36" s="86" t="inlineStr">
        <is>
          <t>RWE.DE</t>
        </is>
      </c>
      <c r="B36" s="87" t="inlineStr">
        <is>
          <t>RWE</t>
        </is>
      </c>
      <c r="C36" s="86" t="inlineStr">
        <is>
          <t>Utilities</t>
        </is>
      </c>
      <c r="D36" s="86" t="inlineStr">
        <is>
          <t>Germany</t>
        </is>
      </c>
      <c r="E36" s="86" t="inlineStr">
        <is>
          <t>Capital</t>
        </is>
      </c>
      <c r="F36" s="88" t="n">
        <v>45663</v>
      </c>
      <c r="G36" s="145" t="n">
        <v>30.41</v>
      </c>
      <c r="H36" s="90" t="n">
        <v>14</v>
      </c>
      <c r="I36" s="145" t="n">
        <v>58.3</v>
      </c>
      <c r="J36" s="145" t="n">
        <v>816.2</v>
      </c>
      <c r="K36" s="91" t="n">
        <v>91.70999999999999</v>
      </c>
      <c r="L36" s="91" t="n">
        <v>-1.91</v>
      </c>
      <c r="M36" s="91" t="n">
        <v>4.37</v>
      </c>
      <c r="N36" s="91" t="n">
        <v>0.84</v>
      </c>
      <c r="O36" s="91" t="n">
        <v>21.03</v>
      </c>
      <c r="P36" s="91" t="n">
        <v>70.68000000000001</v>
      </c>
      <c r="Q36" s="91" t="n">
        <v>-11.09</v>
      </c>
      <c r="R36" s="91" t="n"/>
      <c r="S36" s="91" t="n">
        <v>2.62</v>
      </c>
      <c r="T36" s="91" t="n">
        <v>4.21</v>
      </c>
      <c r="U36" s="91" t="n">
        <v>6.25</v>
      </c>
      <c r="V36" s="92" t="n">
        <v>11.51</v>
      </c>
    </row>
    <row r="37">
      <c r="A37" s="93" t="inlineStr">
        <is>
          <t>CRM</t>
        </is>
      </c>
      <c r="B37" s="94" t="inlineStr">
        <is>
          <t>Salesforce Inc</t>
        </is>
      </c>
      <c r="C37" s="93" t="inlineStr">
        <is>
          <t>Technology</t>
        </is>
      </c>
      <c r="D37" s="93" t="inlineStr">
        <is>
          <t>United States</t>
        </is>
      </c>
      <c r="E37" s="93" t="inlineStr">
        <is>
          <t>Capital</t>
        </is>
      </c>
      <c r="F37" s="95" t="n">
        <v>46197</v>
      </c>
      <c r="G37" s="146" t="n">
        <v>135.15</v>
      </c>
      <c r="H37" s="97" t="n">
        <v>8</v>
      </c>
      <c r="I37" s="146" t="n">
        <v>202.77</v>
      </c>
      <c r="J37" s="146" t="n">
        <v>1622.16</v>
      </c>
      <c r="K37" s="98" t="n">
        <v>50.03</v>
      </c>
      <c r="L37" s="98" t="n">
        <v>-8.24</v>
      </c>
      <c r="M37" s="98" t="n">
        <v>16.68</v>
      </c>
      <c r="N37" s="98" t="n">
        <v>1.67</v>
      </c>
      <c r="O37" s="98" t="n">
        <v>6.78</v>
      </c>
      <c r="P37" s="98" t="n">
        <v>43.25</v>
      </c>
      <c r="Q37" s="98" t="n">
        <v>7.66</v>
      </c>
      <c r="R37" s="98" t="n">
        <v>15.83</v>
      </c>
      <c r="S37" s="98" t="n">
        <v>9.49</v>
      </c>
      <c r="T37" s="98" t="n">
        <v>9.720000000000001</v>
      </c>
      <c r="U37" s="98" t="n">
        <v>-4.38</v>
      </c>
      <c r="V37" s="99" t="n">
        <v>50.09</v>
      </c>
    </row>
    <row r="38">
      <c r="A38" s="86" t="inlineStr">
        <is>
          <t>AIR.PA</t>
        </is>
      </c>
      <c r="B38" s="87" t="inlineStr">
        <is>
          <t>Airbus</t>
        </is>
      </c>
      <c r="C38" s="86" t="inlineStr">
        <is>
          <t>Industrials</t>
        </is>
      </c>
      <c r="D38" s="86" t="inlineStr">
        <is>
          <t>Netherlands</t>
        </is>
      </c>
      <c r="E38" s="86" t="inlineStr">
        <is>
          <t>Capital</t>
        </is>
      </c>
      <c r="F38" s="88" t="n">
        <v>45632</v>
      </c>
      <c r="G38" s="145" t="n">
        <v>156</v>
      </c>
      <c r="H38" s="90" t="n">
        <v>1.04</v>
      </c>
      <c r="I38" s="145" t="n">
        <v>188.13</v>
      </c>
      <c r="J38" s="145" t="n">
        <v>195.66</v>
      </c>
      <c r="K38" s="91" t="n">
        <v>20.6</v>
      </c>
      <c r="L38" s="91" t="n">
        <v>-5.44</v>
      </c>
      <c r="M38" s="91" t="n">
        <v>0.9399999999999999</v>
      </c>
      <c r="N38" s="91" t="n">
        <v>0.2</v>
      </c>
      <c r="O38" s="91" t="n">
        <v>22.91</v>
      </c>
      <c r="P38" s="91" t="n">
        <v>-2.31</v>
      </c>
      <c r="Q38" s="91" t="n">
        <v>2.71</v>
      </c>
      <c r="R38" s="91" t="n">
        <v>7.98</v>
      </c>
      <c r="S38" s="91" t="n">
        <v>11.77</v>
      </c>
      <c r="T38" s="91" t="n">
        <v>11.8</v>
      </c>
      <c r="U38" s="91" t="n">
        <v>19.5</v>
      </c>
      <c r="V38" s="92" t="n">
        <v>46.63</v>
      </c>
    </row>
    <row r="39">
      <c r="A39" s="86" t="inlineStr">
        <is>
          <t>FFARM.AS</t>
        </is>
      </c>
      <c r="B39" s="87" t="inlineStr">
        <is>
          <t>ForFarmers</t>
        </is>
      </c>
      <c r="C39" s="86" t="inlineStr">
        <is>
          <t>Consumer Defensive</t>
        </is>
      </c>
      <c r="D39" s="86" t="inlineStr">
        <is>
          <t>Netherlands</t>
        </is>
      </c>
      <c r="E39" s="86" t="inlineStr">
        <is>
          <t>Capital</t>
        </is>
      </c>
      <c r="F39" s="88" t="n">
        <v>46273</v>
      </c>
      <c r="G39" s="145" t="n">
        <v>5.63</v>
      </c>
      <c r="H39" s="90" t="n">
        <v>250</v>
      </c>
      <c r="I39" s="145" t="n">
        <v>5.82</v>
      </c>
      <c r="J39" s="145" t="n">
        <v>1455</v>
      </c>
      <c r="K39" s="91" t="n">
        <v>3.37</v>
      </c>
      <c r="L39" s="91" t="n">
        <v>3.01</v>
      </c>
      <c r="M39" s="91" t="n">
        <v>3.37</v>
      </c>
      <c r="N39" s="91" t="n">
        <v>1.5</v>
      </c>
      <c r="O39" s="91" t="n">
        <v>5.08</v>
      </c>
      <c r="P39" s="91" t="n">
        <v>-1.71</v>
      </c>
      <c r="Q39" s="91" t="n">
        <v>18.78</v>
      </c>
      <c r="R39" s="91" t="n">
        <v>130</v>
      </c>
      <c r="S39" s="91" t="n">
        <v>14.52</v>
      </c>
      <c r="T39" s="91" t="n">
        <v>5.68</v>
      </c>
      <c r="U39" s="91" t="n">
        <v>0.5</v>
      </c>
      <c r="V39" s="92" t="n">
        <v>73.94</v>
      </c>
    </row>
    <row r="40">
      <c r="A40" s="86" t="inlineStr">
        <is>
          <t>PYPL</t>
        </is>
      </c>
      <c r="B40" s="87" t="inlineStr">
        <is>
          <t>PayPal Holdings Inc</t>
        </is>
      </c>
      <c r="C40" s="86" t="inlineStr">
        <is>
          <t>Financial Services</t>
        </is>
      </c>
      <c r="D40" s="86" t="inlineStr">
        <is>
          <t>United States</t>
        </is>
      </c>
      <c r="E40" s="86" t="inlineStr">
        <is>
          <t>Capital</t>
        </is>
      </c>
      <c r="F40" s="88" t="n">
        <v>46296</v>
      </c>
      <c r="G40" s="145" t="n">
        <v>47.28</v>
      </c>
      <c r="H40" s="90" t="n">
        <v>17</v>
      </c>
      <c r="I40" s="145" t="n">
        <v>48.5</v>
      </c>
      <c r="J40" s="145" t="n">
        <v>824.5</v>
      </c>
      <c r="K40" s="91" t="n">
        <v>2.59</v>
      </c>
      <c r="L40" s="91" t="n">
        <v>2.82</v>
      </c>
      <c r="M40" s="91" t="n">
        <v>2.59</v>
      </c>
      <c r="N40" s="91" t="n">
        <v>0.85</v>
      </c>
      <c r="O40" s="91" t="n">
        <v>1.73</v>
      </c>
      <c r="P40" s="91" t="n">
        <v>0.86</v>
      </c>
      <c r="Q40" s="91" t="n">
        <v>11.8</v>
      </c>
      <c r="R40" s="91" t="n">
        <v>-17.78</v>
      </c>
      <c r="S40" s="91" t="n">
        <v>17.59</v>
      </c>
      <c r="T40" s="91" t="n">
        <v>4.2</v>
      </c>
      <c r="U40" s="91" t="n">
        <v>7.31</v>
      </c>
      <c r="V40" s="92" t="n">
        <v>40.35</v>
      </c>
    </row>
    <row r="41">
      <c r="A41" s="86" t="inlineStr">
        <is>
          <t>SAAB-B.ST</t>
        </is>
      </c>
      <c r="B41" s="87" t="inlineStr">
        <is>
          <t>Saab</t>
        </is>
      </c>
      <c r="C41" s="86" t="inlineStr">
        <is>
          <t>Industrials</t>
        </is>
      </c>
      <c r="D41" s="86" t="inlineStr">
        <is>
          <t>Sweden</t>
        </is>
      </c>
      <c r="E41" s="86" t="inlineStr">
        <is>
          <t>Capital</t>
        </is>
      </c>
      <c r="F41" s="88" t="n">
        <v>45721</v>
      </c>
      <c r="G41" s="145" t="n">
        <v>33.18</v>
      </c>
      <c r="H41" s="90" t="n">
        <v>24</v>
      </c>
      <c r="I41" s="145" t="n">
        <v>52.91</v>
      </c>
      <c r="J41" s="145" t="n">
        <v>1269.84</v>
      </c>
      <c r="K41" s="91" t="n">
        <v>59.48</v>
      </c>
      <c r="L41" s="91" t="n">
        <v>2.82</v>
      </c>
      <c r="M41" s="91" t="n">
        <v>3.13</v>
      </c>
      <c r="N41" s="91" t="n">
        <v>1.31</v>
      </c>
      <c r="O41" s="91" t="n">
        <v>30.51</v>
      </c>
      <c r="P41" s="91" t="n">
        <v>28.97</v>
      </c>
      <c r="Q41" s="91" t="n">
        <v>1.51</v>
      </c>
      <c r="R41" s="91" t="n">
        <v>157.95</v>
      </c>
      <c r="S41" s="91" t="n">
        <v>11.37</v>
      </c>
      <c r="T41" s="91" t="n">
        <v>21.62</v>
      </c>
      <c r="U41" s="91" t="n">
        <v>26.49</v>
      </c>
      <c r="V41" s="92" t="n">
        <v>60.06</v>
      </c>
    </row>
    <row r="42">
      <c r="A42" s="86" t="inlineStr">
        <is>
          <t>ULVR.L</t>
        </is>
      </c>
      <c r="B42" s="87" t="inlineStr">
        <is>
          <t>Unilever - GBP</t>
        </is>
      </c>
      <c r="C42" s="86" t="inlineStr">
        <is>
          <t>Consumer Defensive</t>
        </is>
      </c>
      <c r="D42" s="86" t="inlineStr">
        <is>
          <t>United Kingdom</t>
        </is>
      </c>
      <c r="E42" s="86" t="inlineStr">
        <is>
          <t>Capital</t>
        </is>
      </c>
      <c r="F42" s="88" t="n">
        <v>46127</v>
      </c>
      <c r="G42" s="145" t="n">
        <v>48.81</v>
      </c>
      <c r="H42" s="90" t="n">
        <v>48.4</v>
      </c>
      <c r="I42" s="145" t="n">
        <v>53.67</v>
      </c>
      <c r="J42" s="145" t="n">
        <v>2597.63</v>
      </c>
      <c r="K42" s="91" t="n">
        <v>9.960000000000001</v>
      </c>
      <c r="L42" s="91" t="n">
        <v>-3.04</v>
      </c>
      <c r="M42" s="91" t="n">
        <v>1.99</v>
      </c>
      <c r="N42" s="91" t="n">
        <v>2.67</v>
      </c>
      <c r="O42" s="91" t="n">
        <v>17.77</v>
      </c>
      <c r="P42" s="91" t="n">
        <v>-7.81</v>
      </c>
      <c r="Q42" s="91" t="n">
        <v>5.85</v>
      </c>
      <c r="R42" s="91" t="n">
        <v>-14.5</v>
      </c>
      <c r="S42" s="91" t="n">
        <v>46.6</v>
      </c>
      <c r="T42" s="91" t="n">
        <v>4.09</v>
      </c>
      <c r="U42" s="91" t="n">
        <v>6.51</v>
      </c>
      <c r="V42" s="92" t="n">
        <v>62.55</v>
      </c>
    </row>
    <row r="43">
      <c r="A43" s="93" t="inlineStr">
        <is>
          <t>TSM</t>
        </is>
      </c>
      <c r="B43" s="94" t="inlineStr">
        <is>
          <t>Taiwan Semiconductor Manufacturing Co Ltd - ADR</t>
        </is>
      </c>
      <c r="C43" s="93" t="inlineStr">
        <is>
          <t>Technology</t>
        </is>
      </c>
      <c r="D43" s="93" t="inlineStr">
        <is>
          <t>Taiwan</t>
        </is>
      </c>
      <c r="E43" s="93" t="inlineStr">
        <is>
          <t>Capital</t>
        </is>
      </c>
      <c r="F43" s="95" t="n">
        <v>45757</v>
      </c>
      <c r="G43" s="146" t="n">
        <v>147.77</v>
      </c>
      <c r="H43" s="97" t="n">
        <v>8</v>
      </c>
      <c r="I43" s="146" t="n">
        <v>429.47</v>
      </c>
      <c r="J43" s="146" t="n">
        <v>3435.76</v>
      </c>
      <c r="K43" s="98" t="n">
        <v>190.63</v>
      </c>
      <c r="L43" s="98" t="n">
        <v>10.26</v>
      </c>
      <c r="M43" s="98" t="n">
        <v>11.21</v>
      </c>
      <c r="N43" s="98" t="n">
        <v>3.54</v>
      </c>
      <c r="O43" s="98" t="n">
        <v>46.96</v>
      </c>
      <c r="P43" s="98" t="n">
        <v>143.67</v>
      </c>
      <c r="Q43" s="98" t="n">
        <v>1.24</v>
      </c>
      <c r="R43" s="98" t="n">
        <v>15.23</v>
      </c>
      <c r="S43" s="98" t="n">
        <v>25.16</v>
      </c>
      <c r="T43" s="98" t="n">
        <v>34.77</v>
      </c>
      <c r="U43" s="98" t="n">
        <v>29.98</v>
      </c>
      <c r="V43" s="99" t="n">
        <v>56.97</v>
      </c>
    </row>
    <row r="44">
      <c r="A44" s="86" t="inlineStr">
        <is>
          <t>HEN3.DE</t>
        </is>
      </c>
      <c r="B44" s="87" t="inlineStr">
        <is>
          <t>Henkel</t>
        </is>
      </c>
      <c r="C44" s="86" t="inlineStr">
        <is>
          <t>Consumer Defensive</t>
        </is>
      </c>
      <c r="D44" s="86" t="inlineStr">
        <is>
          <t>Germany</t>
        </is>
      </c>
      <c r="E44" s="86" t="inlineStr">
        <is>
          <t>Capital</t>
        </is>
      </c>
      <c r="F44" s="88" t="n">
        <v>46041</v>
      </c>
      <c r="G44" s="145" t="n">
        <v>72.40000000000001</v>
      </c>
      <c r="H44" s="90" t="n">
        <v>15.2</v>
      </c>
      <c r="I44" s="145" t="n">
        <v>72.95</v>
      </c>
      <c r="J44" s="145" t="n">
        <v>1108.84</v>
      </c>
      <c r="K44" s="91" t="n">
        <v>0.76</v>
      </c>
      <c r="L44" s="91" t="n">
        <v>-4.33</v>
      </c>
      <c r="M44" s="91" t="n">
        <v>0.1</v>
      </c>
      <c r="N44" s="91" t="n">
        <v>1.14</v>
      </c>
      <c r="O44" s="91" t="n">
        <v>18.41</v>
      </c>
      <c r="P44" s="91" t="n">
        <v>-17.65</v>
      </c>
      <c r="Q44" s="91" t="n">
        <v>6.23</v>
      </c>
      <c r="R44" s="91" t="n">
        <v>-26.14</v>
      </c>
      <c r="S44" s="91" t="n">
        <v>8.93</v>
      </c>
      <c r="T44" s="91" t="n">
        <v>5.84</v>
      </c>
      <c r="U44" s="91" t="n">
        <v>6.44</v>
      </c>
      <c r="V44" s="92" t="n">
        <v>43.84</v>
      </c>
    </row>
    <row r="45">
      <c r="A45" s="86" t="inlineStr">
        <is>
          <t>IDCC</t>
        </is>
      </c>
      <c r="B45" s="87" t="inlineStr">
        <is>
          <t>InterDigital, Inc.</t>
        </is>
      </c>
      <c r="C45" s="86" t="inlineStr">
        <is>
          <t>Technology</t>
        </is>
      </c>
      <c r="D45" s="86" t="inlineStr">
        <is>
          <t>United States</t>
        </is>
      </c>
      <c r="E45" s="86" t="inlineStr">
        <is>
          <t>Capital</t>
        </is>
      </c>
      <c r="F45" s="88" t="n">
        <v>45642</v>
      </c>
      <c r="G45" s="145" t="n">
        <v>186.62</v>
      </c>
      <c r="H45" s="90" t="n">
        <v>2</v>
      </c>
      <c r="I45" s="145" t="n">
        <v>299.28</v>
      </c>
      <c r="J45" s="145" t="n">
        <v>598.5599999999999</v>
      </c>
      <c r="K45" s="91" t="n">
        <v>60.37</v>
      </c>
      <c r="L45" s="91" t="n">
        <v>-1.07</v>
      </c>
      <c r="M45" s="91" t="n">
        <v>2.87</v>
      </c>
      <c r="N45" s="91" t="n">
        <v>0.62</v>
      </c>
      <c r="O45" s="91" t="n">
        <v>22.39</v>
      </c>
      <c r="P45" s="91" t="n">
        <v>37.98</v>
      </c>
      <c r="Q45" s="91" t="n">
        <v>5.46</v>
      </c>
      <c r="R45" s="91" t="n">
        <v>122.72</v>
      </c>
      <c r="S45" s="91" t="n">
        <v>25.33</v>
      </c>
      <c r="T45" s="91" t="n">
        <v>-5.28</v>
      </c>
      <c r="U45" s="91" t="n">
        <v>0.28</v>
      </c>
      <c r="V45" s="92" t="n">
        <v>56.73</v>
      </c>
    </row>
    <row r="46">
      <c r="A46" s="79" t="inlineStr">
        <is>
          <t>ACM.US</t>
        </is>
      </c>
      <c r="B46" s="80" t="inlineStr">
        <is>
          <t>AECOM</t>
        </is>
      </c>
      <c r="C46" s="79" t="inlineStr">
        <is>
          <t>Industrials</t>
        </is>
      </c>
      <c r="D46" s="79" t="inlineStr">
        <is>
          <t>United States</t>
        </is>
      </c>
      <c r="E46" s="79" t="inlineStr">
        <is>
          <t>Freedom24</t>
        </is>
      </c>
      <c r="F46" s="81" t="n">
        <v>45790</v>
      </c>
      <c r="G46" s="144" t="n">
        <v>96.78</v>
      </c>
      <c r="H46" s="83" t="n">
        <v>10</v>
      </c>
      <c r="I46" s="144" t="n">
        <v>53.43</v>
      </c>
      <c r="J46" s="144" t="n">
        <v>534.3</v>
      </c>
      <c r="K46" s="84" t="n">
        <v>-44.79</v>
      </c>
      <c r="L46" s="84" t="n">
        <v>-7.87</v>
      </c>
      <c r="M46" s="84" t="n">
        <v>-2.8</v>
      </c>
      <c r="N46" s="84" t="n">
        <v>0.55</v>
      </c>
      <c r="O46" s="84" t="n">
        <v>32.59</v>
      </c>
      <c r="P46" s="84" t="n">
        <v>-77.38</v>
      </c>
      <c r="Q46" s="84" t="n">
        <v>8.75</v>
      </c>
      <c r="R46" s="84" t="n">
        <v>-3.24</v>
      </c>
      <c r="S46" s="84" t="n">
        <v>15.81</v>
      </c>
      <c r="T46" s="84" t="n">
        <v>10.28</v>
      </c>
      <c r="U46" s="84" t="n">
        <v>59.84</v>
      </c>
      <c r="V46" s="85" t="n">
        <v>64.23</v>
      </c>
    </row>
    <row r="47">
      <c r="A47" s="79" t="inlineStr">
        <is>
          <t>AEGN.GR</t>
        </is>
      </c>
      <c r="B47" s="80" t="inlineStr">
        <is>
          <t>AEGEAN AIRLINES (CR)</t>
        </is>
      </c>
      <c r="C47" s="79" t="inlineStr">
        <is>
          <t>Industrials</t>
        </is>
      </c>
      <c r="D47" s="79" t="inlineStr">
        <is>
          <t>Greece</t>
        </is>
      </c>
      <c r="E47" s="79" t="inlineStr">
        <is>
          <t>Freedom24</t>
        </is>
      </c>
      <c r="F47" s="81" t="n">
        <v>46166</v>
      </c>
      <c r="G47" s="144" t="n">
        <v>12.3</v>
      </c>
      <c r="H47" s="83" t="n">
        <v>181</v>
      </c>
      <c r="I47" s="144" t="n">
        <v>11.09</v>
      </c>
      <c r="J47" s="144" t="n">
        <v>2007.29</v>
      </c>
      <c r="K47" s="84" t="n">
        <v>-9.84</v>
      </c>
      <c r="L47" s="84" t="n">
        <v>-9.76</v>
      </c>
      <c r="M47" s="84" t="n">
        <v>-2.46</v>
      </c>
      <c r="N47" s="84" t="n">
        <v>2.07</v>
      </c>
      <c r="O47" s="84" t="n">
        <v>8</v>
      </c>
      <c r="P47" s="84" t="n">
        <v>-17.84</v>
      </c>
      <c r="Q47" s="84" t="n">
        <v>7.15</v>
      </c>
      <c r="R47" s="84" t="n">
        <v>-74.81999999999999</v>
      </c>
      <c r="S47" s="84" t="n">
        <v>16.01</v>
      </c>
      <c r="T47" s="84" t="n">
        <v>8.01</v>
      </c>
      <c r="U47" s="84" t="n">
        <v>-13.12</v>
      </c>
      <c r="V47" s="85" t="n">
        <v>43.43</v>
      </c>
    </row>
    <row r="48">
      <c r="A48" s="86" t="inlineStr">
        <is>
          <t>ALPHA.GR</t>
        </is>
      </c>
      <c r="B48" s="87" t="inlineStr">
        <is>
          <t>ALPHA BANK (CR)</t>
        </is>
      </c>
      <c r="C48" s="86" t="inlineStr">
        <is>
          <t>Financial Services</t>
        </is>
      </c>
      <c r="D48" s="86" t="inlineStr">
        <is>
          <t>Greece</t>
        </is>
      </c>
      <c r="E48" s="86" t="inlineStr">
        <is>
          <t>Freedom24</t>
        </is>
      </c>
      <c r="F48" s="88" t="n">
        <v>46230</v>
      </c>
      <c r="G48" s="145" t="n">
        <v>4.1</v>
      </c>
      <c r="H48" s="90" t="n">
        <v>478</v>
      </c>
      <c r="I48" s="145" t="n">
        <v>4.45</v>
      </c>
      <c r="J48" s="145" t="n">
        <v>2127.1</v>
      </c>
      <c r="K48" s="91" t="n">
        <v>8.539999999999999</v>
      </c>
      <c r="L48" s="91" t="n">
        <v>-3.02</v>
      </c>
      <c r="M48" s="91" t="n">
        <v>4.27</v>
      </c>
      <c r="N48" s="91" t="n">
        <v>2.19</v>
      </c>
      <c r="O48" s="91" t="n">
        <v>7.26</v>
      </c>
      <c r="P48" s="91" t="n">
        <v>1.28</v>
      </c>
      <c r="Q48" s="91" t="n">
        <v>6.5</v>
      </c>
      <c r="R48" s="91" t="n"/>
      <c r="S48" s="91" t="n"/>
      <c r="T48" s="91" t="n">
        <v>9.67</v>
      </c>
      <c r="U48" s="91" t="n">
        <v>16.94</v>
      </c>
      <c r="V48" s="92" t="n">
        <v>78.38</v>
      </c>
    </row>
    <row r="49">
      <c r="A49" s="93" t="inlineStr">
        <is>
          <t>ASML.EU</t>
        </is>
      </c>
      <c r="B49" s="94" t="inlineStr">
        <is>
          <t>ASML Holding</t>
        </is>
      </c>
      <c r="C49" s="93" t="inlineStr">
        <is>
          <t>Technology</t>
        </is>
      </c>
      <c r="D49" s="93" t="inlineStr">
        <is>
          <t>Netherlands</t>
        </is>
      </c>
      <c r="E49" s="93" t="inlineStr">
        <is>
          <t>Freedom24</t>
        </is>
      </c>
      <c r="F49" s="95" t="n">
        <v>45848</v>
      </c>
      <c r="G49" s="146" t="n">
        <v>682.3</v>
      </c>
      <c r="H49" s="97" t="n">
        <v>1</v>
      </c>
      <c r="I49" s="146" t="n">
        <v>1649.6</v>
      </c>
      <c r="J49" s="146" t="n">
        <v>1649.6</v>
      </c>
      <c r="K49" s="98" t="n">
        <v>141.77</v>
      </c>
      <c r="L49" s="98" t="n">
        <v>4.78</v>
      </c>
      <c r="M49" s="98" t="n">
        <v>10.13</v>
      </c>
      <c r="N49" s="98" t="n">
        <v>1.7</v>
      </c>
      <c r="O49" s="98" t="n">
        <v>31.38</v>
      </c>
      <c r="P49" s="98" t="n">
        <v>110.39</v>
      </c>
      <c r="Q49" s="98" t="n">
        <v>1.75</v>
      </c>
      <c r="R49" s="98" t="n">
        <v>21.4</v>
      </c>
      <c r="S49" s="98" t="n">
        <v>38.77</v>
      </c>
      <c r="T49" s="98" t="n">
        <v>27.33</v>
      </c>
      <c r="U49" s="98" t="n">
        <v>34.91</v>
      </c>
      <c r="V49" s="99" t="n">
        <v>68.22</v>
      </c>
    </row>
    <row r="50">
      <c r="A50" s="86" t="inlineStr">
        <is>
          <t>BELA.GR</t>
        </is>
      </c>
      <c r="B50" s="87" t="inlineStr">
        <is>
          <t>JUMBO (CR)</t>
        </is>
      </c>
      <c r="C50" s="86" t="inlineStr">
        <is>
          <t>Consumer Cyclical</t>
        </is>
      </c>
      <c r="D50" s="86" t="inlineStr">
        <is>
          <t>Greece</t>
        </is>
      </c>
      <c r="E50" s="86" t="inlineStr">
        <is>
          <t>Freedom24</t>
        </is>
      </c>
      <c r="F50" s="88" t="n">
        <v>46111</v>
      </c>
      <c r="G50" s="145" t="n">
        <v>22.5</v>
      </c>
      <c r="H50" s="90" t="n">
        <v>90</v>
      </c>
      <c r="I50" s="145" t="n">
        <v>24.96</v>
      </c>
      <c r="J50" s="145" t="n">
        <v>2246.4</v>
      </c>
      <c r="K50" s="91" t="n">
        <v>10.93</v>
      </c>
      <c r="L50" s="91" t="n">
        <v>-5.87</v>
      </c>
      <c r="M50" s="91" t="n">
        <v>1.82</v>
      </c>
      <c r="N50" s="91" t="n">
        <v>2.31</v>
      </c>
      <c r="O50" s="91" t="n">
        <v>25.32</v>
      </c>
      <c r="P50" s="91" t="n">
        <v>-14.39</v>
      </c>
      <c r="Q50" s="91" t="n">
        <v>7.7</v>
      </c>
      <c r="R50" s="91" t="n">
        <v>10.32</v>
      </c>
      <c r="S50" s="91" t="n">
        <v>20.19</v>
      </c>
      <c r="T50" s="91" t="n">
        <v>6.23</v>
      </c>
      <c r="U50" s="91" t="n">
        <v>4.07</v>
      </c>
      <c r="V50" s="92" t="n">
        <v>61.76</v>
      </c>
    </row>
    <row r="51">
      <c r="A51" s="79" t="inlineStr">
        <is>
          <t>CAP.EU</t>
        </is>
      </c>
      <c r="B51" s="80" t="inlineStr">
        <is>
          <t>Capgemini</t>
        </is>
      </c>
      <c r="C51" s="79" t="inlineStr">
        <is>
          <t>Technology</t>
        </is>
      </c>
      <c r="D51" s="79" t="inlineStr">
        <is>
          <t>France</t>
        </is>
      </c>
      <c r="E51" s="79" t="inlineStr">
        <is>
          <t>Freedom24</t>
        </is>
      </c>
      <c r="F51" s="81" t="n">
        <v>45848</v>
      </c>
      <c r="G51" s="144" t="n">
        <v>146.72</v>
      </c>
      <c r="H51" s="83" t="n">
        <v>10</v>
      </c>
      <c r="I51" s="144" t="n">
        <v>106.9</v>
      </c>
      <c r="J51" s="144" t="n">
        <v>1069</v>
      </c>
      <c r="K51" s="84" t="n">
        <v>-27.14</v>
      </c>
      <c r="L51" s="84" t="n">
        <v>4.8</v>
      </c>
      <c r="M51" s="84" t="n">
        <v>-1.94</v>
      </c>
      <c r="N51" s="84" t="n">
        <v>1.1</v>
      </c>
      <c r="O51" s="84" t="n">
        <v>31.38</v>
      </c>
      <c r="P51" s="84" t="n">
        <v>-58.52</v>
      </c>
      <c r="Q51" s="84" t="n">
        <v>12</v>
      </c>
      <c r="R51" s="84" t="n">
        <v>-0.72</v>
      </c>
      <c r="S51" s="84" t="n">
        <v>9.43</v>
      </c>
      <c r="T51" s="84" t="n">
        <v>4.29</v>
      </c>
      <c r="U51" s="84" t="n">
        <v>8.25</v>
      </c>
      <c r="V51" s="85" t="n">
        <v>45.05</v>
      </c>
    </row>
    <row r="52">
      <c r="A52" s="86" t="inlineStr">
        <is>
          <t>COP.US</t>
        </is>
      </c>
      <c r="B52" s="87" t="inlineStr">
        <is>
          <t>ConocoPhillips</t>
        </is>
      </c>
      <c r="C52" s="86" t="inlineStr">
        <is>
          <t>Energy</t>
        </is>
      </c>
      <c r="D52" s="86" t="inlineStr">
        <is>
          <t>United States</t>
        </is>
      </c>
      <c r="E52" s="86" t="inlineStr">
        <is>
          <t>Freedom24</t>
        </is>
      </c>
      <c r="F52" s="88" t="n">
        <v>46092</v>
      </c>
      <c r="G52" s="145" t="n">
        <v>104.01</v>
      </c>
      <c r="H52" s="90" t="n">
        <v>21</v>
      </c>
      <c r="I52" s="145" t="n">
        <v>113.82</v>
      </c>
      <c r="J52" s="145" t="n">
        <v>2390.22</v>
      </c>
      <c r="K52" s="91" t="n">
        <v>9.43</v>
      </c>
      <c r="L52" s="91" t="n">
        <v>-4.2</v>
      </c>
      <c r="M52" s="91" t="n">
        <v>1.57</v>
      </c>
      <c r="N52" s="91" t="n">
        <v>2.46</v>
      </c>
      <c r="O52" s="91" t="n">
        <v>19.87</v>
      </c>
      <c r="P52" s="91" t="n">
        <v>-10.44</v>
      </c>
      <c r="Q52" s="91" t="n">
        <v>4.66</v>
      </c>
      <c r="R52" s="91" t="n">
        <v>-9.529999999999999</v>
      </c>
      <c r="S52" s="91" t="n">
        <v>8.220000000000001</v>
      </c>
      <c r="T52" s="91" t="n">
        <v>-5.83</v>
      </c>
      <c r="U52" s="91" t="n">
        <v>-8.869999999999999</v>
      </c>
      <c r="V52" s="92" t="n">
        <v>39.55</v>
      </c>
    </row>
    <row r="53">
      <c r="A53" s="79" t="inlineStr">
        <is>
          <t>EE.US</t>
        </is>
      </c>
      <c r="B53" s="80" t="inlineStr">
        <is>
          <t>Excelerate Energy Inc</t>
        </is>
      </c>
      <c r="C53" s="79" t="inlineStr">
        <is>
          <t>Energy</t>
        </is>
      </c>
      <c r="D53" s="79" t="inlineStr">
        <is>
          <t>United States</t>
        </is>
      </c>
      <c r="E53" s="79" t="inlineStr">
        <is>
          <t>Freedom24</t>
        </is>
      </c>
      <c r="F53" s="81" t="n">
        <v>45660</v>
      </c>
      <c r="G53" s="144" t="n">
        <v>30.96</v>
      </c>
      <c r="H53" s="83" t="n">
        <v>12</v>
      </c>
      <c r="I53" s="144" t="n">
        <v>30.61</v>
      </c>
      <c r="J53" s="144" t="n">
        <v>367.32</v>
      </c>
      <c r="K53" s="84" t="n">
        <v>-1.13</v>
      </c>
      <c r="L53" s="84" t="n">
        <v>-12.6</v>
      </c>
      <c r="M53" s="84" t="n">
        <v>-0.05</v>
      </c>
      <c r="N53" s="84" t="n">
        <v>0.38</v>
      </c>
      <c r="O53" s="84" t="n">
        <v>22.56</v>
      </c>
      <c r="P53" s="84" t="n">
        <v>-23.69</v>
      </c>
      <c r="Q53" s="84" t="n">
        <v>7.66</v>
      </c>
      <c r="R53" s="84" t="n">
        <v>127.34</v>
      </c>
      <c r="S53" s="84" t="n">
        <v>14.48</v>
      </c>
      <c r="T53" s="84" t="n">
        <v>27.03</v>
      </c>
      <c r="U53" s="84" t="n">
        <v>32.95</v>
      </c>
      <c r="V53" s="85" t="n">
        <v>87.40000000000001</v>
      </c>
    </row>
    <row r="54">
      <c r="A54" s="86" t="inlineStr">
        <is>
          <t>ELHA.GR</t>
        </is>
      </c>
      <c r="B54" s="87" t="inlineStr">
        <is>
          <t>ELVALHALCOR (CR)</t>
        </is>
      </c>
      <c r="C54" s="86" t="inlineStr">
        <is>
          <t>Industrials</t>
        </is>
      </c>
      <c r="D54" s="86" t="inlineStr">
        <is>
          <t>Greece</t>
        </is>
      </c>
      <c r="E54" s="86" t="inlineStr">
        <is>
          <t>Freedom24</t>
        </is>
      </c>
      <c r="F54" s="88" t="n">
        <v>46254</v>
      </c>
      <c r="G54" s="145" t="n">
        <v>3.68</v>
      </c>
      <c r="H54" s="90" t="n">
        <v>426</v>
      </c>
      <c r="I54" s="145" t="n">
        <v>3.79</v>
      </c>
      <c r="J54" s="145" t="n">
        <v>1614.54</v>
      </c>
      <c r="K54" s="91" t="n">
        <v>2.99</v>
      </c>
      <c r="L54" s="91" t="n">
        <v>1.35</v>
      </c>
      <c r="M54" s="91" t="n">
        <v>2.99</v>
      </c>
      <c r="N54" s="91" t="n">
        <v>1.66</v>
      </c>
      <c r="O54" s="91" t="n">
        <v>5.76</v>
      </c>
      <c r="P54" s="91" t="n">
        <v>-2.77</v>
      </c>
      <c r="Q54" s="91" t="n">
        <v>4.72</v>
      </c>
      <c r="R54" s="91" t="n">
        <v>-58.86</v>
      </c>
      <c r="S54" s="91" t="n">
        <v>8.710000000000001</v>
      </c>
      <c r="T54" s="91" t="n">
        <v>0.58</v>
      </c>
      <c r="U54" s="91" t="n">
        <v>17.53</v>
      </c>
      <c r="V54" s="92" t="n">
        <v>31.82</v>
      </c>
    </row>
    <row r="55">
      <c r="A55" s="86" t="inlineStr">
        <is>
          <t>ETE.GR</t>
        </is>
      </c>
      <c r="B55" s="87" t="inlineStr">
        <is>
          <t>NATIONAL BANK (CR)</t>
        </is>
      </c>
      <c r="C55" s="86" t="inlineStr">
        <is>
          <t>Financial Services</t>
        </is>
      </c>
      <c r="D55" s="86" t="inlineStr">
        <is>
          <t>Greece</t>
        </is>
      </c>
      <c r="E55" s="86" t="inlineStr">
        <is>
          <t>Freedom24</t>
        </is>
      </c>
      <c r="F55" s="88" t="n">
        <v>46165</v>
      </c>
      <c r="G55" s="145" t="n">
        <v>14.43</v>
      </c>
      <c r="H55" s="90" t="n">
        <v>155</v>
      </c>
      <c r="I55" s="145" t="n">
        <v>17.02</v>
      </c>
      <c r="J55" s="145" t="n">
        <v>2638.1</v>
      </c>
      <c r="K55" s="91" t="n">
        <v>17.95</v>
      </c>
      <c r="L55" s="91" t="n">
        <v>-0.2</v>
      </c>
      <c r="M55" s="91" t="n">
        <v>4.49</v>
      </c>
      <c r="N55" s="91" t="n">
        <v>2.72</v>
      </c>
      <c r="O55" s="91" t="n">
        <v>8.02</v>
      </c>
      <c r="P55" s="91" t="n">
        <v>9.93</v>
      </c>
      <c r="Q55" s="91" t="n">
        <v>20.21</v>
      </c>
      <c r="R55" s="91" t="n"/>
      <c r="S55" s="91" t="n"/>
      <c r="T55" s="91" t="n">
        <v>8.949999999999999</v>
      </c>
      <c r="U55" s="91" t="n">
        <v>15.71</v>
      </c>
      <c r="V55" s="92" t="n">
        <v>49.54</v>
      </c>
    </row>
    <row r="56">
      <c r="A56" s="100" t="inlineStr">
        <is>
          <t>EUROB.GR</t>
        </is>
      </c>
      <c r="B56" s="101" t="inlineStr">
        <is>
          <t>EUROBANK (CR)</t>
        </is>
      </c>
      <c r="C56" s="100" t="inlineStr">
        <is>
          <t>Financial Services</t>
        </is>
      </c>
      <c r="D56" s="100" t="inlineStr">
        <is>
          <t>Greece</t>
        </is>
      </c>
      <c r="E56" s="100" t="inlineStr">
        <is>
          <t>Freedom24</t>
        </is>
      </c>
      <c r="F56" s="102" t="n">
        <v>46165</v>
      </c>
      <c r="G56" s="147" t="n">
        <v>3.47</v>
      </c>
      <c r="H56" s="104" t="n">
        <v>239</v>
      </c>
      <c r="I56" s="147" t="n">
        <v>4.64</v>
      </c>
      <c r="J56" s="147" t="n">
        <v>1108.96</v>
      </c>
      <c r="K56" s="105" t="n">
        <v>33.72</v>
      </c>
      <c r="L56" s="105" t="n">
        <v>0.58</v>
      </c>
      <c r="M56" s="105" t="n">
        <v>8.43</v>
      </c>
      <c r="N56" s="105" t="n">
        <v>1.14</v>
      </c>
      <c r="O56" s="105" t="n">
        <v>8.02</v>
      </c>
      <c r="P56" s="105" t="n">
        <v>25.7</v>
      </c>
      <c r="Q56" s="105" t="n">
        <v>15.27</v>
      </c>
      <c r="R56" s="105" t="n">
        <v>2566.67</v>
      </c>
      <c r="S56" s="105" t="n"/>
      <c r="T56" s="105" t="n">
        <v>6.95</v>
      </c>
      <c r="U56" s="105" t="n">
        <v>13.6</v>
      </c>
      <c r="V56" s="106" t="n">
        <v>60.13</v>
      </c>
    </row>
    <row r="57">
      <c r="A57" s="86" t="inlineStr">
        <is>
          <t>EVD.EU</t>
        </is>
      </c>
      <c r="B57" s="87" t="inlineStr">
        <is>
          <t>CTS Eventim AG &amp; Co KGaA</t>
        </is>
      </c>
      <c r="C57" s="86" t="inlineStr">
        <is>
          <t>Communication Services</t>
        </is>
      </c>
      <c r="D57" s="86" t="inlineStr">
        <is>
          <t>Germany</t>
        </is>
      </c>
      <c r="E57" s="86" t="inlineStr">
        <is>
          <t>Freedom24</t>
        </is>
      </c>
      <c r="F57" s="88" t="n">
        <v>46146</v>
      </c>
      <c r="G57" s="145" t="n">
        <v>54.5</v>
      </c>
      <c r="H57" s="90" t="n">
        <v>10</v>
      </c>
      <c r="I57" s="145" t="n">
        <v>56.65</v>
      </c>
      <c r="J57" s="145" t="n">
        <v>566.5</v>
      </c>
      <c r="K57" s="91" t="n">
        <v>3.94</v>
      </c>
      <c r="L57" s="91" t="n">
        <v>-0.26</v>
      </c>
      <c r="M57" s="91" t="n">
        <v>0.79</v>
      </c>
      <c r="N57" s="91" t="n">
        <v>0.58</v>
      </c>
      <c r="O57" s="91" t="n">
        <v>12.82</v>
      </c>
      <c r="P57" s="91" t="n">
        <v>-8.880000000000001</v>
      </c>
      <c r="Q57" s="91" t="n">
        <v>1.57</v>
      </c>
      <c r="R57" s="91" t="n">
        <v>-73.98</v>
      </c>
      <c r="S57" s="91" t="n">
        <v>28.82</v>
      </c>
      <c r="T57" s="91" t="n">
        <v>4.95</v>
      </c>
      <c r="U57" s="91" t="n">
        <v>8.17</v>
      </c>
      <c r="V57" s="92" t="n">
        <v>25.31</v>
      </c>
    </row>
    <row r="58">
      <c r="A58" s="86" t="inlineStr">
        <is>
          <t>FCX.US</t>
        </is>
      </c>
      <c r="B58" s="87" t="inlineStr">
        <is>
          <t>Freeport-McMoran Cp &amp; Gld</t>
        </is>
      </c>
      <c r="C58" s="86" t="inlineStr">
        <is>
          <t>Basic Materials</t>
        </is>
      </c>
      <c r="D58" s="86" t="inlineStr">
        <is>
          <t>United States</t>
        </is>
      </c>
      <c r="E58" s="86" t="inlineStr">
        <is>
          <t>Freedom24</t>
        </is>
      </c>
      <c r="F58" s="88" t="n">
        <v>45849</v>
      </c>
      <c r="G58" s="145" t="n">
        <v>39.46</v>
      </c>
      <c r="H58" s="90" t="n">
        <v>24</v>
      </c>
      <c r="I58" s="145" t="n">
        <v>64.70999999999999</v>
      </c>
      <c r="J58" s="145" t="n">
        <v>1553.04</v>
      </c>
      <c r="K58" s="91" t="n">
        <v>63.99</v>
      </c>
      <c r="L58" s="91" t="n">
        <v>-6.28</v>
      </c>
      <c r="M58" s="91" t="n">
        <v>4.57</v>
      </c>
      <c r="N58" s="91" t="n">
        <v>1.6</v>
      </c>
      <c r="O58" s="91" t="n">
        <v>31.49</v>
      </c>
      <c r="P58" s="91" t="n">
        <v>32.5</v>
      </c>
      <c r="Q58" s="91" t="n">
        <v>1.08</v>
      </c>
      <c r="R58" s="91" t="n">
        <v>-52.55</v>
      </c>
      <c r="S58" s="91" t="n">
        <v>14.98</v>
      </c>
      <c r="T58" s="91" t="n">
        <v>19.76</v>
      </c>
      <c r="U58" s="91" t="n">
        <v>36.38</v>
      </c>
      <c r="V58" s="92" t="n">
        <v>57.79</v>
      </c>
    </row>
    <row r="59">
      <c r="A59" s="79" t="inlineStr">
        <is>
          <t>FOYRK.GR</t>
        </is>
      </c>
      <c r="B59" s="80" t="inlineStr">
        <is>
          <t>FOURLIS (CR)</t>
        </is>
      </c>
      <c r="C59" s="79" t="inlineStr">
        <is>
          <t>Consumer Cyclical</t>
        </is>
      </c>
      <c r="D59" s="79" t="inlineStr">
        <is>
          <t>Greece</t>
        </is>
      </c>
      <c r="E59" s="79" t="inlineStr">
        <is>
          <t>Freedom24</t>
        </is>
      </c>
      <c r="F59" s="81" t="n">
        <v>46265</v>
      </c>
      <c r="G59" s="144" t="n">
        <v>4.15</v>
      </c>
      <c r="H59" s="83" t="n">
        <v>300</v>
      </c>
      <c r="I59" s="144" t="n">
        <v>3.87</v>
      </c>
      <c r="J59" s="144" t="n">
        <v>1161</v>
      </c>
      <c r="K59" s="84" t="n">
        <v>-6.75</v>
      </c>
      <c r="L59" s="84" t="n">
        <v>-5.72</v>
      </c>
      <c r="M59" s="84" t="n">
        <v>-6.75</v>
      </c>
      <c r="N59" s="84" t="n">
        <v>1.2</v>
      </c>
      <c r="O59" s="84" t="n">
        <v>5.38</v>
      </c>
      <c r="P59" s="84" t="n">
        <v>-12.13</v>
      </c>
      <c r="Q59" s="84" t="n">
        <v>2.77</v>
      </c>
      <c r="R59" s="84" t="n">
        <v>-85.84</v>
      </c>
      <c r="S59" s="84" t="n">
        <v>3.13</v>
      </c>
      <c r="T59" s="84" t="n">
        <v>3</v>
      </c>
      <c r="U59" s="84" t="n">
        <v>108.33</v>
      </c>
      <c r="V59" s="85" t="n">
        <v>25.12</v>
      </c>
    </row>
    <row r="60">
      <c r="A60" s="79" t="inlineStr">
        <is>
          <t>LAMDA.GR</t>
        </is>
      </c>
      <c r="B60" s="80" t="inlineStr">
        <is>
          <t>LAMDA DEVELOPMENT (CR)</t>
        </is>
      </c>
      <c r="C60" s="79" t="inlineStr">
        <is>
          <t>Real Estate</t>
        </is>
      </c>
      <c r="D60" s="79" t="inlineStr">
        <is>
          <t>Greece</t>
        </is>
      </c>
      <c r="E60" s="79" t="inlineStr">
        <is>
          <t>Freedom24</t>
        </is>
      </c>
      <c r="F60" s="81" t="n">
        <v>46257</v>
      </c>
      <c r="G60" s="144" t="n">
        <v>6.48</v>
      </c>
      <c r="H60" s="83" t="n">
        <v>198</v>
      </c>
      <c r="I60" s="144" t="n">
        <v>6.18</v>
      </c>
      <c r="J60" s="144" t="n">
        <v>1223.64</v>
      </c>
      <c r="K60" s="84" t="n">
        <v>-4.63</v>
      </c>
      <c r="L60" s="84" t="n">
        <v>-10.82</v>
      </c>
      <c r="M60" s="84" t="n">
        <v>-4.63</v>
      </c>
      <c r="N60" s="84" t="n">
        <v>1.26</v>
      </c>
      <c r="O60" s="84" t="n">
        <v>6.2</v>
      </c>
      <c r="P60" s="84" t="n">
        <v>-10.83</v>
      </c>
      <c r="Q60" s="84" t="n">
        <v>-8.17</v>
      </c>
      <c r="R60" s="84" t="n"/>
      <c r="S60" s="84" t="n">
        <v>1.74</v>
      </c>
      <c r="T60" s="84" t="n">
        <v>31.43</v>
      </c>
      <c r="U60" s="84" t="n">
        <v>-75.29000000000001</v>
      </c>
      <c r="V60" s="85" t="n">
        <v>15.87</v>
      </c>
    </row>
    <row r="61">
      <c r="A61" s="86" t="inlineStr">
        <is>
          <t>LNG.US</t>
        </is>
      </c>
      <c r="B61" s="87" t="inlineStr">
        <is>
          <t>CHENIERE ENERGY INC</t>
        </is>
      </c>
      <c r="C61" s="86" t="inlineStr">
        <is>
          <t>Energy</t>
        </is>
      </c>
      <c r="D61" s="86" t="inlineStr">
        <is>
          <t>United States</t>
        </is>
      </c>
      <c r="E61" s="86" t="inlineStr">
        <is>
          <t>Freedom24</t>
        </is>
      </c>
      <c r="F61" s="88" t="n">
        <v>46122</v>
      </c>
      <c r="G61" s="145" t="n">
        <v>225.75</v>
      </c>
      <c r="H61" s="90" t="n">
        <v>9</v>
      </c>
      <c r="I61" s="145" t="n">
        <v>243.75</v>
      </c>
      <c r="J61" s="145" t="n">
        <v>2193.75</v>
      </c>
      <c r="K61" s="91" t="n">
        <v>7.97</v>
      </c>
      <c r="L61" s="91" t="n">
        <v>-0.22</v>
      </c>
      <c r="M61" s="91" t="n">
        <v>1.59</v>
      </c>
      <c r="N61" s="91" t="n">
        <v>2.26</v>
      </c>
      <c r="O61" s="91" t="n">
        <v>19.46</v>
      </c>
      <c r="P61" s="91" t="n">
        <v>-11.49</v>
      </c>
      <c r="Q61" s="91" t="n">
        <v>4.32</v>
      </c>
      <c r="R61" s="91" t="n">
        <v>-22.02</v>
      </c>
      <c r="S61" s="91" t="n">
        <v>24.33</v>
      </c>
      <c r="T61" s="91" t="n">
        <v>2.77</v>
      </c>
      <c r="U61" s="91" t="n">
        <v>-8.720000000000001</v>
      </c>
      <c r="V61" s="92" t="n">
        <v>51.43</v>
      </c>
    </row>
    <row r="62">
      <c r="A62" s="93" t="inlineStr">
        <is>
          <t>MOH.GR</t>
        </is>
      </c>
      <c r="B62" s="94" t="inlineStr">
        <is>
          <t>MOTOR OIL (CR)</t>
        </is>
      </c>
      <c r="C62" s="93" t="inlineStr">
        <is>
          <t>Energy</t>
        </is>
      </c>
      <c r="D62" s="93" t="inlineStr">
        <is>
          <t>Greece</t>
        </is>
      </c>
      <c r="E62" s="93" t="inlineStr">
        <is>
          <t>Freedom24</t>
        </is>
      </c>
      <c r="F62" s="95" t="n">
        <v>45649</v>
      </c>
      <c r="G62" s="146" t="n">
        <v>20.44</v>
      </c>
      <c r="H62" s="97" t="n">
        <v>15</v>
      </c>
      <c r="I62" s="146" t="n">
        <v>67.55</v>
      </c>
      <c r="J62" s="146" t="n">
        <v>1013.25</v>
      </c>
      <c r="K62" s="98" t="n">
        <v>230.48</v>
      </c>
      <c r="L62" s="98" t="n">
        <v>4.59</v>
      </c>
      <c r="M62" s="98" t="n">
        <v>10.98</v>
      </c>
      <c r="N62" s="98" t="n">
        <v>1.04</v>
      </c>
      <c r="O62" s="98" t="n">
        <v>24.39</v>
      </c>
      <c r="P62" s="98" t="n">
        <v>206.09</v>
      </c>
      <c r="Q62" s="98" t="n">
        <v>3.07</v>
      </c>
      <c r="R62" s="98" t="n">
        <v>1055.67</v>
      </c>
      <c r="S62" s="98" t="n">
        <v>6.75</v>
      </c>
      <c r="T62" s="98" t="n">
        <v>-9.949999999999999</v>
      </c>
      <c r="U62" s="98" t="n">
        <v>-41.52</v>
      </c>
      <c r="V62" s="99" t="n">
        <v>33.2</v>
      </c>
    </row>
    <row r="63">
      <c r="A63" s="86" t="inlineStr">
        <is>
          <t>MTLN.GR</t>
        </is>
      </c>
      <c r="B63" s="87" t="inlineStr">
        <is>
          <t>METLEN PLC (CR)</t>
        </is>
      </c>
      <c r="C63" s="86" t="inlineStr">
        <is>
          <t>Utilities</t>
        </is>
      </c>
      <c r="D63" s="86" t="inlineStr">
        <is>
          <t>Greece</t>
        </is>
      </c>
      <c r="E63" s="86" t="inlineStr">
        <is>
          <t>Freedom24</t>
        </is>
      </c>
      <c r="F63" s="88" t="n">
        <v>45883</v>
      </c>
      <c r="G63" s="145" t="n">
        <v>40.49</v>
      </c>
      <c r="H63" s="90" t="n">
        <v>64</v>
      </c>
      <c r="I63" s="145" t="n">
        <v>49.32</v>
      </c>
      <c r="J63" s="145" t="n">
        <v>3156.48</v>
      </c>
      <c r="K63" s="91" t="n">
        <v>21.81</v>
      </c>
      <c r="L63" s="91" t="n">
        <v>4.21</v>
      </c>
      <c r="M63" s="91" t="n">
        <v>1.68</v>
      </c>
      <c r="N63" s="91" t="n">
        <v>3.25</v>
      </c>
      <c r="O63" s="91" t="n">
        <v>27.59</v>
      </c>
      <c r="P63" s="91" t="n">
        <v>-5.78</v>
      </c>
      <c r="Q63" s="91" t="n">
        <v>-3.4</v>
      </c>
      <c r="R63" s="91" t="n"/>
      <c r="S63" s="91" t="n">
        <v>3.91</v>
      </c>
      <c r="T63" s="91" t="n">
        <v>4.66</v>
      </c>
      <c r="U63" s="91" t="n">
        <v>21.75</v>
      </c>
      <c r="V63" s="92" t="n">
        <v>48.96</v>
      </c>
    </row>
    <row r="64">
      <c r="A64" s="79" t="inlineStr">
        <is>
          <t>OTOEL.GR</t>
        </is>
      </c>
      <c r="B64" s="80" t="inlineStr">
        <is>
          <t>AUTOHELLAS (CR)</t>
        </is>
      </c>
      <c r="C64" s="79" t="inlineStr">
        <is>
          <t>Consumer Cyclical</t>
        </is>
      </c>
      <c r="D64" s="79" t="inlineStr">
        <is>
          <t>Greece</t>
        </is>
      </c>
      <c r="E64" s="79" t="inlineStr">
        <is>
          <t>Freedom24</t>
        </is>
      </c>
      <c r="F64" s="81" t="n">
        <v>46167</v>
      </c>
      <c r="G64" s="144" t="n">
        <v>10.89</v>
      </c>
      <c r="H64" s="83" t="n">
        <v>193</v>
      </c>
      <c r="I64" s="144" t="n">
        <v>10.68</v>
      </c>
      <c r="J64" s="144" t="n">
        <v>2061.24</v>
      </c>
      <c r="K64" s="84" t="n">
        <v>-1.93</v>
      </c>
      <c r="L64" s="84" t="n">
        <v>-11.22</v>
      </c>
      <c r="M64" s="84" t="n">
        <v>-0.48</v>
      </c>
      <c r="N64" s="84" t="n">
        <v>2.12</v>
      </c>
      <c r="O64" s="84" t="n">
        <v>8.029999999999999</v>
      </c>
      <c r="P64" s="84" t="n">
        <v>-9.960000000000001</v>
      </c>
      <c r="Q64" s="84" t="n">
        <v>-5.64</v>
      </c>
      <c r="R64" s="84" t="n"/>
      <c r="S64" s="84" t="n">
        <v>7.28</v>
      </c>
      <c r="T64" s="84" t="n"/>
      <c r="U64" s="84" t="n"/>
      <c r="V64" s="85" t="n">
        <v>16.28</v>
      </c>
    </row>
    <row r="65">
      <c r="A65" s="86" t="inlineStr">
        <is>
          <t>PPC.GR</t>
        </is>
      </c>
      <c r="B65" s="87" t="inlineStr">
        <is>
          <t>PPC (CR)</t>
        </is>
      </c>
      <c r="C65" s="86" t="inlineStr">
        <is>
          <t>Utilities</t>
        </is>
      </c>
      <c r="D65" s="86" t="inlineStr">
        <is>
          <t>Greece</t>
        </is>
      </c>
      <c r="E65" s="86" t="inlineStr">
        <is>
          <t>Freedom24</t>
        </is>
      </c>
      <c r="F65" s="88" t="n">
        <v>46043</v>
      </c>
      <c r="G65" s="145" t="n">
        <v>17.61</v>
      </c>
      <c r="H65" s="90" t="n">
        <v>80</v>
      </c>
      <c r="I65" s="145" t="n">
        <v>22.92</v>
      </c>
      <c r="J65" s="145" t="n">
        <v>1833.6</v>
      </c>
      <c r="K65" s="91" t="n">
        <v>30.15</v>
      </c>
      <c r="L65" s="91" t="n">
        <v>-5.89</v>
      </c>
      <c r="M65" s="91" t="n">
        <v>3.77</v>
      </c>
      <c r="N65" s="91" t="n">
        <v>1.89</v>
      </c>
      <c r="O65" s="91" t="n">
        <v>19.67</v>
      </c>
      <c r="P65" s="91" t="n">
        <v>10.48</v>
      </c>
      <c r="Q65" s="91" t="n">
        <v>9.83</v>
      </c>
      <c r="R65" s="91" t="n">
        <v>-56.37</v>
      </c>
      <c r="S65" s="91" t="n">
        <v>17.51</v>
      </c>
      <c r="T65" s="91" t="n">
        <v>2.28</v>
      </c>
      <c r="U65" s="91" t="n">
        <v>16.73</v>
      </c>
      <c r="V65" s="92" t="n">
        <v>65.42</v>
      </c>
    </row>
    <row r="66">
      <c r="A66" s="79" t="inlineStr">
        <is>
          <t>PSN.US</t>
        </is>
      </c>
      <c r="B66" s="80" t="inlineStr">
        <is>
          <t>PARSONS CORP</t>
        </is>
      </c>
      <c r="C66" s="79" t="inlineStr">
        <is>
          <t>Technology</t>
        </is>
      </c>
      <c r="D66" s="79" t="inlineStr">
        <is>
          <t>United States</t>
        </is>
      </c>
      <c r="E66" s="79" t="inlineStr">
        <is>
          <t>Freedom24</t>
        </is>
      </c>
      <c r="F66" s="81" t="n">
        <v>45790</v>
      </c>
      <c r="G66" s="144" t="n">
        <v>59.15</v>
      </c>
      <c r="H66" s="83" t="n">
        <v>10</v>
      </c>
      <c r="I66" s="144" t="n">
        <v>37.3</v>
      </c>
      <c r="J66" s="144" t="n">
        <v>373</v>
      </c>
      <c r="K66" s="84" t="n">
        <v>-36.94</v>
      </c>
      <c r="L66" s="84" t="n">
        <v>-11.52</v>
      </c>
      <c r="M66" s="84" t="n">
        <v>-2.31</v>
      </c>
      <c r="N66" s="84" t="n">
        <v>0.38</v>
      </c>
      <c r="O66" s="84" t="n">
        <v>32.59</v>
      </c>
      <c r="P66" s="84" t="n">
        <v>-69.53</v>
      </c>
      <c r="Q66" s="84" t="n">
        <v>9.130000000000001</v>
      </c>
      <c r="R66" s="84" t="n">
        <v>-13.49</v>
      </c>
      <c r="S66" s="84" t="n">
        <v>8.65</v>
      </c>
      <c r="T66" s="84" t="n">
        <v>5.69</v>
      </c>
      <c r="U66" s="84" t="n">
        <v>40.41</v>
      </c>
      <c r="V66" s="85" t="n">
        <v>46.58</v>
      </c>
    </row>
    <row r="67">
      <c r="A67" s="79" t="inlineStr">
        <is>
          <t>RHM.EU</t>
        </is>
      </c>
      <c r="B67" s="80" t="inlineStr">
        <is>
          <t>Rheinmetall AG</t>
        </is>
      </c>
      <c r="C67" s="79" t="inlineStr">
        <is>
          <t>Industrials</t>
        </is>
      </c>
      <c r="D67" s="79" t="inlineStr">
        <is>
          <t>Germany</t>
        </is>
      </c>
      <c r="E67" s="79" t="inlineStr">
        <is>
          <t>Freedom24</t>
        </is>
      </c>
      <c r="F67" s="81" t="n">
        <v>46146</v>
      </c>
      <c r="G67" s="144" t="n">
        <v>1396.6</v>
      </c>
      <c r="H67" s="83" t="n">
        <v>1</v>
      </c>
      <c r="I67" s="144" t="n">
        <v>981.4</v>
      </c>
      <c r="J67" s="144" t="n">
        <v>981.4</v>
      </c>
      <c r="K67" s="84" t="n">
        <v>-29.73</v>
      </c>
      <c r="L67" s="84" t="n">
        <v>-7.15</v>
      </c>
      <c r="M67" s="84" t="n">
        <v>-5.95</v>
      </c>
      <c r="N67" s="84" t="n">
        <v>1.01</v>
      </c>
      <c r="O67" s="84" t="n">
        <v>12.82</v>
      </c>
      <c r="P67" s="84" t="n">
        <v>-42.55</v>
      </c>
      <c r="Q67" s="84" t="n">
        <v>3.2</v>
      </c>
      <c r="R67" s="84" t="n">
        <v>43.22</v>
      </c>
      <c r="S67" s="84" t="n">
        <v>21.27</v>
      </c>
      <c r="T67" s="84" t="n">
        <v>33.22</v>
      </c>
      <c r="U67" s="84" t="n">
        <v>43.13</v>
      </c>
      <c r="V67" s="85" t="n">
        <v>78.55</v>
      </c>
    </row>
    <row r="68">
      <c r="A68" s="79" t="inlineStr">
        <is>
          <t>SIX3.EU</t>
        </is>
      </c>
      <c r="B68" s="80" t="inlineStr">
        <is>
          <t>Sixt SE</t>
        </is>
      </c>
      <c r="C68" s="79" t="inlineStr">
        <is>
          <t>Industrials</t>
        </is>
      </c>
      <c r="D68" s="79" t="inlineStr">
        <is>
          <t>Germany</t>
        </is>
      </c>
      <c r="E68" s="79" t="inlineStr">
        <is>
          <t>Freedom24</t>
        </is>
      </c>
      <c r="F68" s="81" t="n">
        <v>46146</v>
      </c>
      <c r="G68" s="144" t="n">
        <v>58.5</v>
      </c>
      <c r="H68" s="83" t="n">
        <v>6</v>
      </c>
      <c r="I68" s="144" t="n">
        <v>56.05</v>
      </c>
      <c r="J68" s="144" t="n">
        <v>336.3</v>
      </c>
      <c r="K68" s="84" t="n">
        <v>-4.19</v>
      </c>
      <c r="L68" s="84" t="n"/>
      <c r="M68" s="84" t="n">
        <v>-0.84</v>
      </c>
      <c r="N68" s="84" t="n">
        <v>0.35</v>
      </c>
      <c r="O68" s="84" t="n">
        <v>12.82</v>
      </c>
      <c r="P68" s="84" t="n">
        <v>-17.01</v>
      </c>
      <c r="Q68" s="84" t="n"/>
      <c r="R68" s="84" t="n"/>
      <c r="S68" s="84" t="n"/>
      <c r="T68" s="84" t="n"/>
      <c r="U68" s="84" t="n"/>
      <c r="V68" s="85" t="n"/>
    </row>
    <row r="69">
      <c r="A69" s="79" t="inlineStr">
        <is>
          <t>THEON.EU</t>
        </is>
      </c>
      <c r="B69" s="80" t="inlineStr">
        <is>
          <t>Theon International PLC</t>
        </is>
      </c>
      <c r="C69" s="79" t="inlineStr">
        <is>
          <t>Industrials</t>
        </is>
      </c>
      <c r="D69" s="79" t="inlineStr">
        <is>
          <t>Cyprus</t>
        </is>
      </c>
      <c r="E69" s="79" t="inlineStr">
        <is>
          <t>Freedom24</t>
        </is>
      </c>
      <c r="F69" s="81" t="n">
        <v>46019</v>
      </c>
      <c r="G69" s="144" t="n">
        <v>31.33</v>
      </c>
      <c r="H69" s="83" t="n">
        <v>44</v>
      </c>
      <c r="I69" s="144" t="n">
        <v>29.24</v>
      </c>
      <c r="J69" s="144" t="n">
        <v>1286.56</v>
      </c>
      <c r="K69" s="84" t="n">
        <v>-6.67</v>
      </c>
      <c r="L69" s="84" t="n">
        <v>-8.9</v>
      </c>
      <c r="M69" s="84" t="n">
        <v>-0.74</v>
      </c>
      <c r="N69" s="84" t="n">
        <v>1.32</v>
      </c>
      <c r="O69" s="84" t="n">
        <v>19.55</v>
      </c>
      <c r="P69" s="84" t="n">
        <v>-26.22</v>
      </c>
      <c r="Q69" s="84" t="n">
        <v>-1.6</v>
      </c>
      <c r="R69" s="84" t="n"/>
      <c r="S69" s="84" t="n">
        <v>22.48</v>
      </c>
      <c r="T69" s="84" t="n">
        <v>23.39</v>
      </c>
      <c r="U69" s="84" t="n">
        <v>18.87</v>
      </c>
      <c r="V69" s="85" t="n">
        <v>57.25</v>
      </c>
    </row>
    <row r="70" ht="15" customHeight="1">
      <c r="A70" s="86" t="inlineStr">
        <is>
          <t>VUAA.EU</t>
        </is>
      </c>
      <c r="B70" s="87" t="inlineStr">
        <is>
          <t>Vanguard S&amp;P 500 UCITS ETF</t>
        </is>
      </c>
      <c r="C70" s="86" t="n"/>
      <c r="D70" s="86" t="n"/>
      <c r="E70" s="86" t="inlineStr">
        <is>
          <t>Freedom24</t>
        </is>
      </c>
      <c r="F70" s="88" t="n">
        <v>46272</v>
      </c>
      <c r="G70" s="145" t="n">
        <v>128.29</v>
      </c>
      <c r="H70" s="90" t="n">
        <v>3</v>
      </c>
      <c r="I70" s="145" t="n">
        <v>132.84</v>
      </c>
      <c r="J70" s="145" t="n">
        <v>398.52</v>
      </c>
      <c r="K70" s="91" t="n">
        <v>3.55</v>
      </c>
      <c r="L70" s="91" t="n">
        <v>1.75</v>
      </c>
      <c r="M70" s="91" t="n">
        <v>3.55</v>
      </c>
      <c r="N70" s="91" t="n">
        <v>0.41</v>
      </c>
      <c r="O70" s="91" t="n">
        <v>4.93</v>
      </c>
      <c r="P70" s="91" t="n">
        <v>-1.38</v>
      </c>
      <c r="Q70" s="91" t="n"/>
      <c r="R70" s="91" t="n"/>
      <c r="S70" s="91" t="n"/>
      <c r="T70" s="91" t="n"/>
      <c r="U70" s="91" t="n"/>
      <c r="V70" s="92" t="n"/>
    </row>
    <row r="72" ht="15" customHeight="1"/>
    <row r="73" ht="21" customHeight="1"/>
    <row r="74" ht="21" customHeight="1"/>
    <row r="75" ht="21" customHeight="1"/>
    <row r="76" ht="21" customHeight="1">
      <c r="B76" s="114" t="inlineStr">
        <is>
          <t>PORTFOLIO VALUE</t>
        </is>
      </c>
      <c r="E76" s="115" t="inlineStr">
        <is>
          <t>PORTFOLIO RETURN</t>
        </is>
      </c>
      <c r="F76" s="116" t="n"/>
      <c r="L76" s="117" t="inlineStr">
        <is>
          <t>EXCESS RETURN</t>
        </is>
      </c>
      <c r="N76" s="118" t="inlineStr">
        <is>
          <t>VUAA RETURN</t>
        </is>
      </c>
      <c r="O76" s="119" t="n"/>
    </row>
    <row r="77" ht="21" customHeight="1">
      <c r="B77" s="149">
        <f>IFERROR(SUMPRODUCT(SUBTOTAL(109,OFFSET(INDEX(StockSummary[current_price],1),ROW(StockSummary[current_price])-MIN(ROW(StockSummary[current_price])),0,1)),StockSummary[quantity]),0)</f>
        <v/>
      </c>
      <c r="E77" s="121">
        <f>IFERROR(SUMPRODUCT(SUBTOTAL(103,OFFSET(INDEX(StockSummary[symbol],1),ROW(StockSummary[symbol])-MIN(ROW(StockSummary[symbol])),0,1)),StockSummary[current_price],StockSummary[quantity])/SUMPRODUCT(SUBTOTAL(103,OFFSET(INDEX(StockSummary[symbol],1),ROW(StockSummary[symbol])-MIN(ROW(StockSummary[symbol])),0,1)),StockSummary[purchase_price],StockSummary[quantity])-1,0)</f>
        <v/>
      </c>
      <c r="F77" s="116" t="n"/>
      <c r="L77" s="122">
        <f>E77-N77</f>
        <v/>
      </c>
      <c r="N77" s="123">
        <f>IFERROR(SUMPRODUCT(SUBTOTAL(103,OFFSET(INDEX(StockSummary[symbol],1),ROW(StockSummary[symbol])-MIN(ROW(StockSummary[symbol])),0,1)),StockSummary[portfolio_weight],StockSummary[vuaa_return])/SUMPRODUCT(SUBTOTAL(103,OFFSET(INDEX(StockSummary[symbol],1),ROW(StockSummary[symbol])-MIN(ROW(StockSummary[symbol])),0,1)),StockSummary[portfolio_weight])/100,0)</f>
        <v/>
      </c>
      <c r="O77" s="119" t="n"/>
    </row>
    <row r="78" ht="21" customHeight="1"/>
    <row r="79" ht="21" customHeight="1"/>
    <row r="80" ht="21" customHeight="1">
      <c r="B80" s="124" t="inlineStr">
        <is>
          <t>TOTAL VALUE</t>
        </is>
      </c>
      <c r="E80" s="125" t="inlineStr">
        <is>
          <t>TOTAL PORTFOLIO RETURN</t>
        </is>
      </c>
      <c r="F80" s="126" t="n"/>
    </row>
    <row r="81" ht="21" customHeight="1">
      <c r="B81" s="150">
        <f>IFERROR(B77+SUM(SoldSummary[total_profit_loss]),B77)</f>
        <v/>
      </c>
      <c r="E81" s="128">
        <f>IFERROR((B81-(SUMPRODUCT(SUBTOTAL(103,OFFSET(INDEX(StockSummary[symbol],1),ROW(StockSummary[symbol])-MIN(ROW(StockSummary[symbol])),0,1)),StockSummary[purchase_price],StockSummary[quantity])))/(SUMPRODUCT(SUBTOTAL(103,OFFSET(INDEX(StockSummary[symbol],1),ROW(StockSummary[symbol])-MIN(ROW(StockSummary[symbol])),0,1)),StockSummary[purchase_price],StockSummary[quantity])),0)</f>
        <v/>
      </c>
      <c r="F81" s="126" t="n"/>
    </row>
  </sheetData>
  <mergeCells count="6">
    <mergeCell ref="E77:F77"/>
    <mergeCell ref="N76:O76"/>
    <mergeCell ref="E76:F76"/>
    <mergeCell ref="N77:O77"/>
    <mergeCell ref="E80:F80"/>
    <mergeCell ref="E81:F8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L21"/>
  <sheetViews>
    <sheetView showGridLines="0" workbookViewId="0">
      <pane ySplit="1" topLeftCell="A2" activePane="bottomLeft" state="frozen"/>
      <selection pane="bottomLeft" activeCell="K24" sqref="K24"/>
    </sheetView>
  </sheetViews>
  <sheetFormatPr baseColWidth="8" defaultRowHeight="14.4"/>
  <cols>
    <col width="14" customWidth="1" min="1" max="1"/>
    <col width="20" customWidth="1" min="2" max="2"/>
    <col width="14" customWidth="1" min="3" max="6"/>
    <col width="14" customWidth="1" min="4" max="4"/>
    <col width="14" customWidth="1" min="5" max="5"/>
    <col width="14" customWidth="1" min="6" max="6"/>
    <col width="12" customWidth="1" min="7" max="7"/>
    <col width="14" customWidth="1" min="8" max="8"/>
    <col width="15" customWidth="1" min="9" max="9"/>
    <col width="18" customWidth="1" min="10" max="10"/>
    <col width="38" customWidth="1" min="11" max="11"/>
    <col width="18" customWidth="1" min="12" max="12"/>
    <col hidden="1" width="16" customWidth="1" min="13" max="13"/>
    <col width="25" customWidth="1" min="14" max="14"/>
    <col width="22" customWidth="1" min="15" max="15"/>
    <col width="18" customWidth="1" min="16" max="16"/>
    <col width="14" customWidth="1" min="17" max="17"/>
    <col width="15" customWidth="1" min="18" max="18"/>
    <col hidden="1" width="14" customWidth="1" min="19" max="19"/>
    <col hidden="1" width="15" customWidth="1" min="20" max="20"/>
    <col hidden="1" width="12" customWidth="1" min="21" max="21"/>
    <col hidden="1" width="24" customWidth="1" min="22" max="22"/>
    <col hidden="1" width="21" customWidth="1" min="23" max="23"/>
    <col width="14" customWidth="1" min="24" max="24"/>
  </cols>
  <sheetData>
    <row r="1" ht="24" customHeight="1">
      <c r="A1" s="93" t="inlineStr">
        <is>
          <t>symbol</t>
        </is>
      </c>
      <c r="B1" s="93" t="inlineStr">
        <is>
          <t>sector</t>
        </is>
      </c>
      <c r="C1" s="93" t="inlineStr">
        <is>
          <t>platform</t>
        </is>
      </c>
      <c r="D1" s="93" t="inlineStr">
        <is>
          <t>purchase_date</t>
        </is>
      </c>
      <c r="E1" s="93" t="inlineStr">
        <is>
          <t>sell_date</t>
        </is>
      </c>
      <c r="F1" s="93" t="inlineStr">
        <is>
          <t>purchase_price</t>
        </is>
      </c>
      <c r="G1" s="93" t="inlineStr">
        <is>
          <t>quantity</t>
        </is>
      </c>
      <c r="H1" s="93" t="inlineStr">
        <is>
          <t>current_price</t>
        </is>
      </c>
      <c r="I1" s="93" t="inlineStr">
        <is>
          <t>percent_change</t>
        </is>
      </c>
      <c r="J1" s="93" t="inlineStr">
        <is>
          <t>total_profit_loss</t>
        </is>
      </c>
    </row>
    <row r="2">
      <c r="A2" t="inlineStr">
        <is>
          <t>IUIS.L</t>
        </is>
      </c>
      <c r="C2" t="inlineStr">
        <is>
          <t>Trading212</t>
        </is>
      </c>
      <c r="D2" s="9" t="n">
        <v>45623</v>
      </c>
      <c r="E2" s="9" t="n">
        <v>46294</v>
      </c>
      <c r="F2" s="151" t="n">
        <v>11.36</v>
      </c>
      <c r="G2" s="12" t="n">
        <v>11.498102</v>
      </c>
      <c r="H2" s="151" t="n">
        <v>12.739494</v>
      </c>
      <c r="I2" s="10" t="n">
        <v>12.14</v>
      </c>
      <c r="J2" s="152" t="n">
        <v>15.82</v>
      </c>
    </row>
    <row r="3">
      <c r="A3" t="inlineStr">
        <is>
          <t>GMED</t>
        </is>
      </c>
      <c r="B3" t="inlineStr">
        <is>
          <t>Healthcare</t>
        </is>
      </c>
      <c r="C3" t="inlineStr">
        <is>
          <t>Trading212</t>
        </is>
      </c>
      <c r="D3" s="9" t="n">
        <v>45629</v>
      </c>
      <c r="E3" s="9" t="n">
        <v>46294</v>
      </c>
      <c r="F3" s="151" t="n">
        <v>78.91</v>
      </c>
      <c r="G3" s="12" t="n">
        <v>4.808569</v>
      </c>
      <c r="H3" s="151" t="n">
        <v>66.53330800000001</v>
      </c>
      <c r="I3" s="10" t="n">
        <v>-15.68</v>
      </c>
      <c r="J3" s="153" t="n">
        <v>-59.5</v>
      </c>
    </row>
    <row r="4">
      <c r="A4" t="inlineStr">
        <is>
          <t>IESC</t>
        </is>
      </c>
      <c r="B4" t="inlineStr">
        <is>
          <t>Industrials</t>
        </is>
      </c>
      <c r="C4" t="inlineStr">
        <is>
          <t>Capital</t>
        </is>
      </c>
      <c r="D4" s="9" t="n">
        <v>46258</v>
      </c>
      <c r="E4" s="9" t="n">
        <v>46294</v>
      </c>
      <c r="F4" s="151" t="n">
        <v>99.09</v>
      </c>
      <c r="G4" s="12" t="n">
        <v>1</v>
      </c>
      <c r="H4" s="151" t="n">
        <v>285.7</v>
      </c>
      <c r="I4" s="10" t="n">
        <v>188.32</v>
      </c>
      <c r="J4" s="152" t="n">
        <v>360.67</v>
      </c>
    </row>
    <row r="5">
      <c r="A5" t="inlineStr">
        <is>
          <t>GASS</t>
        </is>
      </c>
      <c r="B5" t="inlineStr">
        <is>
          <t>Industrials</t>
        </is>
      </c>
      <c r="C5" t="inlineStr">
        <is>
          <t>Trading212</t>
        </is>
      </c>
      <c r="D5" s="9" t="n">
        <v>45621</v>
      </c>
      <c r="E5" s="9" t="n">
        <v>46141</v>
      </c>
      <c r="F5" s="151" t="n">
        <v>5.61</v>
      </c>
      <c r="G5" s="12" t="n">
        <v>110.45804</v>
      </c>
      <c r="H5" s="151" t="n">
        <v>8.225839000000001</v>
      </c>
      <c r="I5" s="10" t="n">
        <v>46.63</v>
      </c>
      <c r="J5" s="152" t="n">
        <v>288.84</v>
      </c>
    </row>
    <row r="6">
      <c r="A6" t="inlineStr">
        <is>
          <t>CELH</t>
        </is>
      </c>
      <c r="B6" t="inlineStr">
        <is>
          <t>Consumer Defensive</t>
        </is>
      </c>
      <c r="C6" t="inlineStr">
        <is>
          <t>Trading212</t>
        </is>
      </c>
      <c r="D6" s="9" t="n">
        <v>45629</v>
      </c>
      <c r="E6" s="9" t="n">
        <v>46295</v>
      </c>
      <c r="F6" s="151" t="n">
        <v>27.11</v>
      </c>
      <c r="G6" s="12" t="n">
        <v>13.996531</v>
      </c>
      <c r="H6" s="151" t="n">
        <v>24.663254</v>
      </c>
      <c r="I6" s="10" t="n">
        <v>-9.029999999999999</v>
      </c>
      <c r="J6" s="153" t="n">
        <v>-34.23</v>
      </c>
    </row>
    <row r="7">
      <c r="A7" t="inlineStr">
        <is>
          <t>CRDO</t>
        </is>
      </c>
      <c r="B7" t="inlineStr">
        <is>
          <t>Technology</t>
        </is>
      </c>
      <c r="C7" t="inlineStr">
        <is>
          <t>Trading212</t>
        </is>
      </c>
      <c r="D7" s="9" t="n">
        <v>46267</v>
      </c>
      <c r="E7" s="9" t="n">
        <v>46297</v>
      </c>
      <c r="F7" s="151" t="n">
        <v>145.8</v>
      </c>
      <c r="G7" s="12" t="n">
        <v>9.4</v>
      </c>
      <c r="H7" s="151" t="n">
        <v>193.743618</v>
      </c>
      <c r="I7" s="10" t="n">
        <v>32.88</v>
      </c>
      <c r="J7" s="152" t="n">
        <v>450.75</v>
      </c>
    </row>
    <row r="8">
      <c r="A8" t="inlineStr">
        <is>
          <t>NNE</t>
        </is>
      </c>
      <c r="B8" t="inlineStr">
        <is>
          <t>Industrials</t>
        </is>
      </c>
      <c r="C8" t="inlineStr">
        <is>
          <t>Trading212</t>
        </is>
      </c>
      <c r="D8" s="9" t="n">
        <v>45621</v>
      </c>
      <c r="E8" s="9" t="n">
        <v>45915</v>
      </c>
      <c r="F8" s="151" t="n">
        <v>23.74</v>
      </c>
      <c r="G8" s="12" t="n">
        <v>463.862801</v>
      </c>
      <c r="H8" s="151" t="n">
        <v>31.389325</v>
      </c>
      <c r="I8" s="10" t="n">
        <v>32.22</v>
      </c>
      <c r="J8" s="152" t="n">
        <v>1676.78</v>
      </c>
    </row>
    <row r="9">
      <c r="A9" t="inlineStr">
        <is>
          <t>EUROB.GR</t>
        </is>
      </c>
      <c r="B9" t="inlineStr">
        <is>
          <t>Financial Services</t>
        </is>
      </c>
      <c r="C9" t="inlineStr">
        <is>
          <t>Freedom24</t>
        </is>
      </c>
      <c r="D9" s="9" t="n">
        <v>46165</v>
      </c>
      <c r="E9" s="9" t="n">
        <v>46230</v>
      </c>
      <c r="F9" s="151" t="n">
        <v>3.47</v>
      </c>
      <c r="G9" s="12" t="n">
        <v>440</v>
      </c>
      <c r="H9" s="151" t="n">
        <v>3.683545</v>
      </c>
      <c r="I9" s="10" t="n">
        <v>6.15</v>
      </c>
      <c r="J9" s="152" t="n">
        <v>506.99</v>
      </c>
    </row>
    <row r="10">
      <c r="A10" t="inlineStr">
        <is>
          <t>MOH.GR</t>
        </is>
      </c>
      <c r="B10" t="inlineStr">
        <is>
          <t>Energy</t>
        </is>
      </c>
      <c r="C10" t="inlineStr">
        <is>
          <t>Freedom24</t>
        </is>
      </c>
      <c r="D10" s="9" t="n">
        <v>45649</v>
      </c>
      <c r="E10" s="9" t="n">
        <v>46212</v>
      </c>
      <c r="F10" s="151" t="n">
        <v>20.44</v>
      </c>
      <c r="G10" s="12" t="n">
        <v>20</v>
      </c>
      <c r="H10" s="151" t="n">
        <v>43.8</v>
      </c>
      <c r="I10" s="10" t="n">
        <v>114.29</v>
      </c>
      <c r="J10" s="152" t="n">
        <v>463.13</v>
      </c>
    </row>
    <row r="11">
      <c r="A11" t="inlineStr">
        <is>
          <t>PPC.GR</t>
        </is>
      </c>
      <c r="B11" t="inlineStr">
        <is>
          <t>Utilities</t>
        </is>
      </c>
      <c r="C11" t="inlineStr">
        <is>
          <t>Freedom24</t>
        </is>
      </c>
      <c r="D11" s="9" t="n">
        <v>46043</v>
      </c>
      <c r="E11" s="9" t="n">
        <v>46084</v>
      </c>
      <c r="F11" s="151" t="n">
        <v>17.61</v>
      </c>
      <c r="G11" s="12" t="n">
        <v>55</v>
      </c>
      <c r="H11" s="151" t="n">
        <v>16.256364</v>
      </c>
      <c r="I11" s="10" t="n">
        <v>-7.69</v>
      </c>
      <c r="J11" s="152" t="n">
        <v>184.86</v>
      </c>
    </row>
    <row r="12" ht="21" customHeight="1">
      <c r="A12" t="inlineStr">
        <is>
          <t>THEON.EU</t>
        </is>
      </c>
      <c r="B12" t="inlineStr">
        <is>
          <t>Industrials</t>
        </is>
      </c>
      <c r="C12" t="inlineStr">
        <is>
          <t>Freedom24</t>
        </is>
      </c>
      <c r="D12" s="9" t="n">
        <v>46019</v>
      </c>
      <c r="E12" s="9" t="n">
        <v>46248</v>
      </c>
      <c r="F12" s="151" t="n">
        <v>31.33</v>
      </c>
      <c r="G12" s="12" t="n">
        <v>240</v>
      </c>
      <c r="H12" s="151" t="n">
        <v>31.208333</v>
      </c>
      <c r="I12" s="10" t="n">
        <v>-0.39</v>
      </c>
      <c r="J12" s="152" t="n">
        <v>1759.47</v>
      </c>
    </row>
    <row r="13" ht="21" customHeight="1">
      <c r="A13" t="inlineStr">
        <is>
          <t>PTC</t>
        </is>
      </c>
      <c r="B13" t="inlineStr">
        <is>
          <t>Technology</t>
        </is>
      </c>
      <c r="C13" t="inlineStr">
        <is>
          <t>Trading212</t>
        </is>
      </c>
      <c r="D13" s="9" t="n">
        <v>46273</v>
      </c>
      <c r="E13" s="9" t="n">
        <v>46300</v>
      </c>
      <c r="F13" s="151" t="n">
        <v>120.3</v>
      </c>
      <c r="G13" s="12" t="n">
        <v>3.2</v>
      </c>
      <c r="H13" s="151" t="n">
        <v>171.99375</v>
      </c>
      <c r="I13" s="10" t="n">
        <v>42.97</v>
      </c>
      <c r="J13" s="152" t="n">
        <v>165.54</v>
      </c>
    </row>
    <row r="14">
      <c r="A14" t="inlineStr">
        <is>
          <t>SXLI.L</t>
        </is>
      </c>
      <c r="C14" t="inlineStr">
        <is>
          <t>Trading212</t>
        </is>
      </c>
      <c r="D14" s="9" t="n">
        <v>45621</v>
      </c>
      <c r="E14" s="9" t="n">
        <v>46301</v>
      </c>
      <c r="F14" s="151" t="n">
        <v>58.55</v>
      </c>
      <c r="G14" s="12" t="n">
        <v>5.678723</v>
      </c>
      <c r="H14" s="151" t="n">
        <v>66.19446000000001</v>
      </c>
      <c r="I14" s="10" t="n">
        <v>13.06</v>
      </c>
      <c r="J14" s="152" t="n">
        <v>43.4</v>
      </c>
    </row>
    <row r="15"/>
    <row r="16"/>
    <row r="17"/>
    <row r="18" ht="21" customHeight="1"/>
    <row r="19" ht="21" customHeight="1"/>
    <row r="20" ht="21" customHeight="1">
      <c r="B20" s="132" t="inlineStr">
        <is>
          <t>SOLD VALUE</t>
        </is>
      </c>
      <c r="C20" s="133" t="n"/>
      <c r="E20" s="134" t="inlineStr">
        <is>
          <t>SOLD RETURN</t>
        </is>
      </c>
      <c r="F20" s="135" t="n"/>
      <c r="H20" s="136" t="inlineStr">
        <is>
          <t>REALIZED P/L</t>
        </is>
      </c>
      <c r="I20" s="137" t="n"/>
      <c r="K20" s="138" t="inlineStr">
        <is>
          <t>SOLD % RETURN</t>
        </is>
      </c>
      <c r="L20" s="139" t="n"/>
    </row>
    <row r="21" ht="21" customHeight="1">
      <c r="B21" s="154">
        <f>IFERROR(SUMPRODUCT(SoldSummary[quantity],SoldSummary[purchase_price]),0)</f>
        <v/>
      </c>
      <c r="C21" s="133" t="n"/>
      <c r="E21" s="155">
        <f>IFERROR(SUMPRODUCT(SoldSummary[quantity],SoldSummary[current_price]),0)</f>
        <v/>
      </c>
      <c r="F21" s="135" t="n"/>
      <c r="H21" s="156">
        <f>IFERROR(SUM(SoldSummary[total_profit_loss]),0)</f>
        <v/>
      </c>
      <c r="I21" s="137" t="n"/>
      <c r="K21" s="143">
        <f>IFERROR((E21-B21)/B21,0)</f>
        <v/>
      </c>
      <c r="L21" s="139" t="n"/>
    </row>
  </sheetData>
  <mergeCells count="8">
    <mergeCell ref="B21:C21"/>
    <mergeCell ref="H21:I21"/>
    <mergeCell ref="E20:F20"/>
    <mergeCell ref="H20:I20"/>
    <mergeCell ref="K20:L20"/>
    <mergeCell ref="B20:C20"/>
    <mergeCell ref="E21:F21"/>
    <mergeCell ref="K21:L21"/>
  </mergeCells>
  <conditionalFormatting sqref="H21:I21">
    <cfRule type="expression" priority="1" dxfId="7">
      <formula>$H$21&gt;=0</formula>
    </cfRule>
    <cfRule type="expression" priority="2" dxfId="8">
      <formula>$H$21&lt;0</formula>
    </cfRule>
  </conditionalFormatting>
  <conditionalFormatting sqref="K21:L21">
    <cfRule type="expression" priority="3" dxfId="7">
      <formula>$K$21&gt;=0</formula>
    </cfRule>
    <cfRule type="expression" priority="4" dxfId="8">
      <formula>$K$21&lt;0</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Y21"/>
  <sheetViews>
    <sheetView showGridLines="0" tabSelected="1" workbookViewId="0">
      <pane ySplit="1" topLeftCell="A2" activePane="bottomLeft" state="frozen"/>
      <selection pane="bottomLeft" activeCell="A1" sqref="A1"/>
    </sheetView>
  </sheetViews>
  <sheetFormatPr baseColWidth="8" defaultRowHeight="14.4"/>
  <cols>
    <col width="8" customWidth="1" min="1" max="1"/>
    <col width="14" customWidth="1" min="2" max="2"/>
    <col width="34" customWidth="1" min="3" max="3"/>
    <col width="22" customWidth="1" min="4" max="4"/>
    <col width="18" customWidth="1" min="5" max="5"/>
    <col hidden="1" width="10" customWidth="1" min="6" max="6"/>
    <col width="14" customWidth="1" min="7" max="7"/>
    <col hidden="1" width="14" customWidth="1" min="8" max="8"/>
    <col hidden="1" width="23" customWidth="1" min="9" max="9"/>
    <col hidden="1" width="24" customWidth="1" min="10" max="10"/>
    <col hidden="1" width="25" customWidth="1" min="11" max="11"/>
    <col hidden="1" width="22" customWidth="1" min="12" max="12"/>
    <col hidden="1" width="20" customWidth="1" min="13" max="13"/>
    <col hidden="1" width="14" customWidth="1" min="14" max="14"/>
    <col hidden="1" width="15" customWidth="1" min="15" max="15"/>
    <col hidden="1" width="12" customWidth="1" min="16" max="16"/>
    <col hidden="1" width="24" customWidth="1" min="17" max="17"/>
    <col hidden="1" width="21" customWidth="1" min="18" max="18"/>
    <col width="14" customWidth="1" min="19" max="19"/>
    <col hidden="1" width="18" customWidth="1" min="20" max="21"/>
    <col hidden="1" width="34" customWidth="1" min="22" max="22"/>
    <col hidden="1" width="21" customWidth="1" min="23" max="23"/>
    <col width="48" customWidth="1" min="24" max="24"/>
    <col hidden="1" width="70" customWidth="1" min="25" max="25"/>
  </cols>
  <sheetData>
    <row r="1" ht="36" customHeight="1">
      <c r="A1" s="8" t="inlineStr">
        <is>
          <t>rank</t>
        </is>
      </c>
      <c r="B1" s="8" t="inlineStr">
        <is>
          <t>symbol</t>
        </is>
      </c>
      <c r="C1" s="8" t="inlineStr">
        <is>
          <t>name</t>
        </is>
      </c>
      <c r="D1" s="8" t="inlineStr">
        <is>
          <t>sector</t>
        </is>
      </c>
      <c r="E1" s="8" t="inlineStr">
        <is>
          <t>country</t>
        </is>
      </c>
      <c r="F1" s="8" t="inlineStr">
        <is>
          <t>currency</t>
        </is>
      </c>
      <c r="G1" s="8" t="inlineStr">
        <is>
          <t>current_price</t>
        </is>
      </c>
      <c r="H1" s="8" t="inlineStr">
        <is>
          <t>high_52w</t>
        </is>
      </c>
      <c r="I1" s="8" t="inlineStr">
        <is>
          <t>price_25pct_below_high</t>
        </is>
      </c>
      <c r="J1" s="8" t="inlineStr">
        <is>
          <t>drop_from_52w_high_amount</t>
        </is>
      </c>
      <c r="K1" s="8" t="inlineStr">
        <is>
          <t>discount_from_52w_high_pct</t>
        </is>
      </c>
      <c r="L1" s="8" t="inlineStr">
        <is>
          <t>meets_25pct_discount</t>
        </is>
      </c>
      <c r="M1" s="8" t="inlineStr">
        <is>
          <t>already_in_portfolio</t>
        </is>
      </c>
      <c r="N1" s="8" t="inlineStr">
        <is>
          <t>fcf_yield</t>
        </is>
      </c>
      <c r="O1" s="8" t="inlineStr">
        <is>
          <t>fcf_growth</t>
        </is>
      </c>
      <c r="P1" s="8" t="inlineStr">
        <is>
          <t>roic</t>
        </is>
      </c>
      <c r="Q1" s="8" t="inlineStr">
        <is>
          <t>forward_revenue_growth</t>
        </is>
      </c>
      <c r="R1" s="8" t="inlineStr">
        <is>
          <t>forward_eps_growth</t>
        </is>
      </c>
      <c r="S1" s="8" t="inlineStr">
        <is>
          <t>final_score</t>
        </is>
      </c>
      <c r="T1" s="8" t="inlineStr">
        <is>
          <t>market_cap</t>
        </is>
      </c>
      <c r="U1" s="8" t="inlineStr">
        <is>
          <t>validation_status</t>
        </is>
      </c>
      <c r="V1" s="8" t="inlineStr">
        <is>
          <t>validation_source</t>
        </is>
      </c>
      <c r="W1" s="8" t="inlineStr">
        <is>
          <t>researched_at</t>
        </is>
      </c>
      <c r="X1" s="8" t="inlineStr">
        <is>
          <t>source_url</t>
        </is>
      </c>
      <c r="Y1" s="8" t="inlineStr">
        <is>
          <t>dashboard_analysis</t>
        </is>
      </c>
    </row>
    <row r="2" hidden="1" ht="15.6" customHeight="1">
      <c r="A2" s="1" t="n">
        <v>1</v>
      </c>
      <c r="B2" s="1" t="inlineStr">
        <is>
          <t>TEK.L</t>
        </is>
      </c>
      <c r="C2" s="2" t="inlineStr">
        <is>
          <t>Tekcapital plc</t>
        </is>
      </c>
      <c r="D2" s="1" t="inlineStr">
        <is>
          <t>Financial Services</t>
        </is>
      </c>
      <c r="E2" s="1" t="inlineStr">
        <is>
          <t>United Kingdom</t>
        </is>
      </c>
      <c r="F2" s="1" t="inlineStr">
        <is>
          <t>GBp</t>
        </is>
      </c>
      <c r="G2" s="3" t="n">
        <v>2.6</v>
      </c>
      <c r="H2" s="3" t="n">
        <v>13</v>
      </c>
      <c r="I2" s="3" t="n">
        <v>9.75</v>
      </c>
      <c r="J2" s="3" t="n">
        <v>10.4</v>
      </c>
      <c r="K2" s="4" t="n">
        <v>80</v>
      </c>
      <c r="L2" s="1" t="b">
        <v>1</v>
      </c>
      <c r="M2" s="1" t="b">
        <v>0</v>
      </c>
      <c r="N2" s="4" t="n">
        <v>-21.79</v>
      </c>
      <c r="O2" s="4" t="n"/>
      <c r="P2" s="4" t="n">
        <v>-2.91</v>
      </c>
      <c r="Q2" s="4" t="n"/>
      <c r="R2" s="4" t="n"/>
      <c r="S2" s="5" t="n">
        <v>84.86</v>
      </c>
      <c r="T2" s="6" t="n">
        <v>7322197</v>
      </c>
      <c r="U2" s="1" t="inlineStr">
        <is>
          <t>validated</t>
        </is>
      </c>
      <c r="V2" s="2" t="inlineStr">
        <is>
          <t>Yahoo Finance 1Y daily history</t>
        </is>
      </c>
      <c r="W2" s="1" t="inlineStr">
        <is>
          <t>2026-10-03T14:53:09</t>
        </is>
      </c>
      <c r="X2" s="7" t="inlineStr">
        <is>
          <t>https://finance.yahoo.com/quote/TEK.L</t>
        </is>
      </c>
      <c r="Y2" s="2" t="inlineStr">
        <is>
          <t>Η Tekcapital plc έχει Final Score 84.86/100. Το Final Score είναι υψηλό επειδή οι περισσότεροι βασικοί παράγοντες είναι ισχυροί. Χρησιμοποιείται το ειδικό Financial Services μοντέλο: ROE, Price/Book, Profit Margin, Revenue Growth και Forward EPS Growth. Το γενικό FCF/ROIC μοντέλο δεν είναι ο αποφασιστικός μηχανισμός. Θετικοί οδηγοί: ROE 87.63%: ισχυρό θετικό — απόδοση ιδίων κεφαλαίων. Price/Book 0.04: ισχυρό θετικό — αποτίμηση έναντι λογιστικής αξίας. Profit Margin 98.52%: ισχυρό θετικό — κερδοφορία.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Η ανάλυση είναι επεξήγηση του μοντέλου και όχι σύσταση αγοράς ή πώλησης.</t>
        </is>
      </c>
    </row>
    <row r="3" hidden="1" ht="15.6" customHeight="1">
      <c r="A3" s="1" t="n">
        <v>2</v>
      </c>
      <c r="B3" s="1" t="inlineStr">
        <is>
          <t>ZZ-B.ST</t>
        </is>
      </c>
      <c r="C3" s="2" t="inlineStr">
        <is>
          <t>Zinzino AB (publ)</t>
        </is>
      </c>
      <c r="D3" s="1" t="inlineStr">
        <is>
          <t>Consumer Defensive</t>
        </is>
      </c>
      <c r="E3" s="1" t="inlineStr">
        <is>
          <t>Sweden</t>
        </is>
      </c>
      <c r="F3" s="1" t="inlineStr">
        <is>
          <t>SEK</t>
        </is>
      </c>
      <c r="G3" s="3" t="n">
        <v>130.6</v>
      </c>
      <c r="H3" s="3" t="n">
        <v>177</v>
      </c>
      <c r="I3" s="3" t="n">
        <v>132.75</v>
      </c>
      <c r="J3" s="3" t="n">
        <v>46.4</v>
      </c>
      <c r="K3" s="4" t="n">
        <v>26.21</v>
      </c>
      <c r="L3" s="1" t="b">
        <v>1</v>
      </c>
      <c r="M3" s="1" t="b">
        <v>0</v>
      </c>
      <c r="N3" s="4" t="n">
        <v>10.3</v>
      </c>
      <c r="O3" s="4" t="n">
        <v>83.28</v>
      </c>
      <c r="P3" s="4" t="n">
        <v>44.34</v>
      </c>
      <c r="Q3" s="4" t="n">
        <v>12.57</v>
      </c>
      <c r="R3" s="4" t="n">
        <v>7.72</v>
      </c>
      <c r="S3" s="5" t="n">
        <v>84</v>
      </c>
      <c r="T3" s="6" t="n">
        <v>5145554432</v>
      </c>
      <c r="U3" s="1" t="inlineStr">
        <is>
          <t>validated</t>
        </is>
      </c>
      <c r="V3" s="2" t="inlineStr">
        <is>
          <t>Yahoo Finance 1Y daily history</t>
        </is>
      </c>
      <c r="W3" s="1" t="inlineStr">
        <is>
          <t>2026-10-03T14:52:51</t>
        </is>
      </c>
      <c r="X3" s="7" t="inlineStr">
        <is>
          <t>https://finance.yahoo.com/quote/ZZ-B.ST</t>
        </is>
      </c>
      <c r="Y3" s="2" t="inlineStr">
        <is>
          <t>Η Zinzino AB (publ) έχει Final Score 84.00/100. Το Final Score είναι υψηλό επειδή οι περισσότεροι βασικοί παράγοντες είναι ισχυροί.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10.30%: ισχυρό θετικό — αποτίμηση/παραγωγή ελεύθερων ταμειακών ροών. ROIC 44.34%: ισχυρό θετικό — αποδοτικότητα του επενδεδυμένου κεφαλαίου. FCF Growth 83.28%: ισχυρό θετικό — ρυθμός μεταβολής ελεύθερων ταμειακών ροών. Αδύνατα σημεία/κίνδυνοι: Forward EPS 7.72%: αρνητικό — προσδοκώμενη ανάπτυξη κερδών ανά μετοχή.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Η ανάλυση είναι επεξήγηση του μοντέλου και όχι σύσταση αγοράς ή πώλησης.</t>
        </is>
      </c>
    </row>
    <row r="4" hidden="1" ht="15.6" customHeight="1">
      <c r="A4" s="1" t="n">
        <v>3</v>
      </c>
      <c r="B4" s="1" t="inlineStr">
        <is>
          <t>JMT.LS</t>
        </is>
      </c>
      <c r="C4" s="2" t="inlineStr">
        <is>
          <t>Jerónimo Martins, SGPS, S.A.</t>
        </is>
      </c>
      <c r="D4" s="1" t="inlineStr">
        <is>
          <t>Consumer Defensive</t>
        </is>
      </c>
      <c r="E4" s="1" t="inlineStr">
        <is>
          <t>Portugal</t>
        </is>
      </c>
      <c r="F4" s="1" t="inlineStr">
        <is>
          <t>EUR</t>
        </is>
      </c>
      <c r="G4" s="3" t="n">
        <v>16.94</v>
      </c>
      <c r="H4" s="3" t="n">
        <v>22.68</v>
      </c>
      <c r="I4" s="3" t="n">
        <v>17.01</v>
      </c>
      <c r="J4" s="3" t="n">
        <v>5.74</v>
      </c>
      <c r="K4" s="4" t="n">
        <v>25.31</v>
      </c>
      <c r="L4" s="1" t="b">
        <v>1</v>
      </c>
      <c r="M4" s="1" t="b">
        <v>0</v>
      </c>
      <c r="N4" s="4" t="n">
        <v>12.85</v>
      </c>
      <c r="O4" s="4" t="n">
        <v>110.79</v>
      </c>
      <c r="P4" s="4" t="n">
        <v>20.17</v>
      </c>
      <c r="Q4" s="4" t="n">
        <v>5.95</v>
      </c>
      <c r="R4" s="4" t="n">
        <v>10.63</v>
      </c>
      <c r="S4" s="5" t="n">
        <v>81.65000000000001</v>
      </c>
      <c r="T4" s="6" t="n">
        <v>10645676032</v>
      </c>
      <c r="U4" s="1" t="inlineStr">
        <is>
          <t>validated</t>
        </is>
      </c>
      <c r="V4" s="2" t="inlineStr">
        <is>
          <t>Yahoo Finance 1Y daily history</t>
        </is>
      </c>
      <c r="W4" s="1" t="inlineStr">
        <is>
          <t>2026-10-03T14:52:43</t>
        </is>
      </c>
      <c r="X4" s="7" t="inlineStr">
        <is>
          <t>https://finance.yahoo.com/quote/JMT.LS</t>
        </is>
      </c>
      <c r="Y4" s="2" t="inlineStr">
        <is>
          <t>Η Jerónimo Martins, SGPS, S.A. έχει Final Score 81.65/100. Το Final Score είναι υψηλό επειδή οι περισσότεροι βασικοί παράγοντες είναι ισχυροί.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12.85%: ισχυρό θετικό — αποτίμηση/παραγωγή ελεύθερων ταμειακών ροών. ROIC 20.17%: ισχυρό θετικό — αποδοτικότητα του επενδεδυμένου κεφαλαίου. FCF Growth 110.79%: ισχυρό θετικό — ρυθμός μεταβολής ελεύθερων ταμειακών ροών.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2026-10-28. Η ανάλυση είναι επεξήγηση του μοντέλου και όχι σύσταση αγοράς ή πώλησης.</t>
        </is>
      </c>
    </row>
    <row r="5" ht="15.6" customHeight="1">
      <c r="A5" s="1" t="n">
        <v>4</v>
      </c>
      <c r="B5" s="1" t="inlineStr">
        <is>
          <t>BCRX</t>
        </is>
      </c>
      <c r="C5" s="2" t="inlineStr">
        <is>
          <t>BioCryst Pharmaceuticals, Inc.</t>
        </is>
      </c>
      <c r="D5" s="1" t="inlineStr">
        <is>
          <t>Healthcare</t>
        </is>
      </c>
      <c r="E5" s="1" t="inlineStr">
        <is>
          <t>United States</t>
        </is>
      </c>
      <c r="F5" s="1" t="inlineStr">
        <is>
          <t>USD</t>
        </is>
      </c>
      <c r="G5" s="3" t="n">
        <v>8.17</v>
      </c>
      <c r="H5" s="3" t="n">
        <v>11.22</v>
      </c>
      <c r="I5" s="3" t="n">
        <v>8.414999999999999</v>
      </c>
      <c r="J5" s="3" t="n">
        <v>3.05</v>
      </c>
      <c r="K5" s="4" t="n">
        <v>27.18</v>
      </c>
      <c r="L5" s="1" t="b">
        <v>1</v>
      </c>
      <c r="M5" s="1" t="b">
        <v>0</v>
      </c>
      <c r="N5" s="4" t="n">
        <v>16.52</v>
      </c>
      <c r="O5" s="4" t="n"/>
      <c r="P5" s="4" t="n">
        <v>109.22</v>
      </c>
      <c r="Q5" s="4" t="n">
        <v>4.02</v>
      </c>
      <c r="R5" s="4" t="n">
        <v>26.17</v>
      </c>
      <c r="S5" s="5" t="n">
        <v>79.93000000000001</v>
      </c>
      <c r="T5" s="6" t="n">
        <v>2087721856</v>
      </c>
      <c r="U5" s="1" t="inlineStr">
        <is>
          <t>validated</t>
        </is>
      </c>
      <c r="V5" s="2" t="inlineStr">
        <is>
          <t>Yahoo Finance 1Y daily history</t>
        </is>
      </c>
      <c r="W5" s="1" t="inlineStr">
        <is>
          <t>2026-10-03T14:53:18</t>
        </is>
      </c>
      <c r="X5" s="7" t="inlineStr">
        <is>
          <t>https://finance.yahoo.com/quote/BCRX</t>
        </is>
      </c>
      <c r="Y5" s="2" t="inlineStr">
        <is>
          <t>Η BioCryst Pharmaceuticals, Inc. έχει Final Score 79.93/100.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16.52%: θετικό — αποτίμηση/παραγωγή ελεύθερων ταμειακών ροών. ROIC 109.22%: ισχυρό θετικό — αποδοτικότητα του επενδεδυμένου κεφαλαίου. Forward EPS 26.17%: θετικό — προσδοκώμενη ανάπτυξη κερδών ανά μετοχή. Αδύνατα σημεία/κίνδυνοι: Forward Revenue 4.02%: αρνητικό — προσδοκώμενη ανάπτυξη εσόδων. Ελλιπή πεδία: FCF Growth.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2026-11-02. Η ανάλυση είναι επεξήγηση του μοντέλου και όχι σύσταση αγοράς ή πώλησης.</t>
        </is>
      </c>
    </row>
    <row r="6" ht="15.6" customHeight="1">
      <c r="A6" s="1" t="n">
        <v>5</v>
      </c>
      <c r="B6" s="1" t="inlineStr">
        <is>
          <t>UROY</t>
        </is>
      </c>
      <c r="C6" s="2" t="inlineStr">
        <is>
          <t>Uranium Royalty Corp.</t>
        </is>
      </c>
      <c r="D6" s="1" t="inlineStr">
        <is>
          <t>Energy</t>
        </is>
      </c>
      <c r="E6" s="1" t="inlineStr">
        <is>
          <t>United States</t>
        </is>
      </c>
      <c r="F6" s="1" t="inlineStr">
        <is>
          <t>USD</t>
        </is>
      </c>
      <c r="G6" s="3" t="n">
        <v>3.97</v>
      </c>
      <c r="H6" s="3" t="n">
        <v>5.52</v>
      </c>
      <c r="I6" s="3" t="n">
        <v>4.14</v>
      </c>
      <c r="J6" s="3" t="n">
        <v>1.55</v>
      </c>
      <c r="K6" s="4" t="n">
        <v>28.08</v>
      </c>
      <c r="L6" s="1" t="b">
        <v>1</v>
      </c>
      <c r="M6" s="1" t="b">
        <v>0</v>
      </c>
      <c r="N6" s="4" t="n">
        <v>11.75</v>
      </c>
      <c r="O6" s="4" t="n"/>
      <c r="P6" s="4" t="n">
        <v>11.93</v>
      </c>
      <c r="Q6" s="4" t="n"/>
      <c r="R6" s="4" t="n">
        <v>460</v>
      </c>
      <c r="S6" s="5" t="n">
        <v>79.90000000000001</v>
      </c>
      <c r="T6" s="6" t="n">
        <v>1512837248</v>
      </c>
      <c r="U6" s="1" t="inlineStr">
        <is>
          <t>validated</t>
        </is>
      </c>
      <c r="V6" s="2" t="inlineStr">
        <is>
          <t>Yahoo Finance 1Y daily history</t>
        </is>
      </c>
      <c r="W6" s="1" t="inlineStr">
        <is>
          <t>2026-10-03T14:52:45</t>
        </is>
      </c>
      <c r="X6" s="7" t="inlineStr">
        <is>
          <t>https://finance.yahoo.com/quote/UROY</t>
        </is>
      </c>
      <c r="Y6" s="2" t="inlineStr">
        <is>
          <t>Η Uranium Royalty Corp. έχει Final Score 79.90/100.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11.75%: ισχυρό θετικό — αποτίμηση/παραγωγή ελεύθερων ταμειακών ροών. Forward EPS 460.00%: ισχυρό θετικό — προσδοκώμενη ανάπτυξη κερδών ανά μετοχή. Αδύνατα σημεία/κίνδυνοι: Λείπουν δεδομένα για: FCF Growth, Forward Revenue. Ελλιπή πεδία: FCF Growth, Forward Revenue. Δεύτερη πηγή: SEC EDGAR. Υπάρχουν ανεξάρτητα στοιχεία, αλλά όχι αρκετά ίδια πεδία για αριθμητική σύγκριση. Έλεγχος δεδομένων: Ακραία τιμή forward_eps_growth: 460.00%.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2026-12-11. Έλεγχος δεδομένων: Ακραία τιμή forward_eps_growth: 460.00%.. Η ανάλυση είναι επεξήγηση του μοντέλου και όχι σύσταση αγοράς ή πώλησης.</t>
        </is>
      </c>
    </row>
    <row r="7" hidden="1" ht="15.6" customHeight="1">
      <c r="A7" s="1" t="n">
        <v>6</v>
      </c>
      <c r="B7" s="1" t="inlineStr">
        <is>
          <t>WIHL.ST</t>
        </is>
      </c>
      <c r="C7" s="2" t="inlineStr">
        <is>
          <t>Wihlborgs Fastigheter AB (publ)</t>
        </is>
      </c>
      <c r="D7" s="1" t="inlineStr">
        <is>
          <t>Real Estate</t>
        </is>
      </c>
      <c r="E7" s="1" t="inlineStr">
        <is>
          <t>Sweden</t>
        </is>
      </c>
      <c r="F7" s="1" t="inlineStr">
        <is>
          <t>SEK</t>
        </is>
      </c>
      <c r="G7" s="3" t="n">
        <v>68.65000000000001</v>
      </c>
      <c r="H7" s="3" t="n">
        <v>99.25</v>
      </c>
      <c r="I7" s="3" t="n">
        <v>74.4375</v>
      </c>
      <c r="J7" s="3" t="n">
        <v>30.6</v>
      </c>
      <c r="K7" s="4" t="n">
        <v>30.83</v>
      </c>
      <c r="L7" s="1" t="b">
        <v>1</v>
      </c>
      <c r="M7" s="1" t="b">
        <v>0</v>
      </c>
      <c r="N7" s="4" t="n">
        <v>10.32</v>
      </c>
      <c r="O7" s="4" t="n">
        <v>35.01</v>
      </c>
      <c r="P7" s="4" t="n">
        <v>4.02</v>
      </c>
      <c r="Q7" s="4" t="n">
        <v>18.11</v>
      </c>
      <c r="R7" s="4" t="n">
        <v>8.199999999999999</v>
      </c>
      <c r="S7" s="5" t="n">
        <v>78.67</v>
      </c>
      <c r="T7" s="6" t="n">
        <v>21104857088</v>
      </c>
      <c r="U7" s="1" t="inlineStr">
        <is>
          <t>validated</t>
        </is>
      </c>
      <c r="V7" s="2" t="inlineStr">
        <is>
          <t>Yahoo Finance 1Y daily history</t>
        </is>
      </c>
      <c r="W7" s="1" t="inlineStr">
        <is>
          <t>2026-10-03T14:52:40</t>
        </is>
      </c>
      <c r="X7" s="7" t="inlineStr">
        <is>
          <t>https://finance.yahoo.com/quote/WIHL.ST</t>
        </is>
      </c>
      <c r="Y7" s="2" t="inlineStr">
        <is>
          <t>Η Wihlborgs Fastigheter AB (publ) έχει Final Score 78.67/100.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10.32%: ισχυρό θετικό — αποτίμηση/παραγωγή ελεύθερων ταμειακών ροών. ROIC 4.02%: ισχυρό θετικό — αποδοτικότητα του επενδεδυμένου κεφαλαίου. FCF Growth 35.01%: θετικό — ρυθμός μεταβολής ελεύθερων ταμειακών ροών.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2026-10-21. Η ανάλυση είναι επεξήγηση του μοντέλου και όχι σύσταση αγοράς ή πώλησης.</t>
        </is>
      </c>
    </row>
    <row r="8" ht="15.6" customHeight="1">
      <c r="A8" s="1" t="n">
        <v>7</v>
      </c>
      <c r="B8" s="1" t="inlineStr">
        <is>
          <t>APP</t>
        </is>
      </c>
      <c r="C8" s="2" t="inlineStr">
        <is>
          <t>AppLovin Corporation</t>
        </is>
      </c>
      <c r="D8" s="1" t="inlineStr">
        <is>
          <t>Communication Services</t>
        </is>
      </c>
      <c r="E8" s="1" t="inlineStr">
        <is>
          <t>United States</t>
        </is>
      </c>
      <c r="F8" s="1" t="inlineStr">
        <is>
          <t>USD</t>
        </is>
      </c>
      <c r="G8" s="3" t="n">
        <v>268.22</v>
      </c>
      <c r="H8" s="3" t="n">
        <v>738.01</v>
      </c>
      <c r="I8" s="3" t="n">
        <v>553.5075000000001</v>
      </c>
      <c r="J8" s="3" t="n">
        <v>469.79</v>
      </c>
      <c r="K8" s="4" t="n">
        <v>63.66</v>
      </c>
      <c r="L8" s="1" t="b">
        <v>1</v>
      </c>
      <c r="M8" s="1" t="b">
        <v>0</v>
      </c>
      <c r="N8" s="4" t="n">
        <v>4.39</v>
      </c>
      <c r="O8" s="4" t="n">
        <v>90.15000000000001</v>
      </c>
      <c r="P8" s="4" t="n">
        <v>63.85</v>
      </c>
      <c r="Q8" s="4" t="n">
        <v>26.56</v>
      </c>
      <c r="R8" s="4" t="n">
        <v>27.72</v>
      </c>
      <c r="S8" s="5" t="n">
        <v>77.90000000000001</v>
      </c>
      <c r="T8" s="6" t="n">
        <v>89759965184</v>
      </c>
      <c r="U8" s="1" t="inlineStr">
        <is>
          <t>validated</t>
        </is>
      </c>
      <c r="V8" s="2" t="inlineStr">
        <is>
          <t>Yahoo Finance 1Y daily history</t>
        </is>
      </c>
      <c r="W8" s="1" t="inlineStr">
        <is>
          <t>2026-10-03T14:52:31</t>
        </is>
      </c>
      <c r="X8" s="7" t="inlineStr">
        <is>
          <t>https://finance.yahoo.com/quote/APP</t>
        </is>
      </c>
      <c r="Y8" s="2" t="inlineStr">
        <is>
          <t>Η AppLovin Corporation έχει Final Score 77.90/100.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4.39%: θετικό — αποτίμηση/παραγωγή ελεύθερων ταμειακών ροών. ROIC 63.85%: ισχυρό θετικό — αποδοτικότητα του επενδεδυμένου κεφαλαίου. FCF Growth 90.15%: θετικό — ρυθμός μεταβολής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2026-11-04. Η ανάλυση είναι επεξήγηση του μοντέλου και όχι σύσταση αγοράς ή πώλησης.</t>
        </is>
      </c>
    </row>
    <row r="9" hidden="1" ht="15.6" customHeight="1">
      <c r="A9" s="1" t="n">
        <v>8</v>
      </c>
      <c r="B9" s="1" t="inlineStr">
        <is>
          <t>ROVI.MC</t>
        </is>
      </c>
      <c r="C9" s="2" t="inlineStr">
        <is>
          <t>Laboratorios Farmaceuticos Rovi, S.A.</t>
        </is>
      </c>
      <c r="D9" s="1" t="inlineStr">
        <is>
          <t>Healthcare</t>
        </is>
      </c>
      <c r="E9" s="1" t="inlineStr">
        <is>
          <t>Spain</t>
        </is>
      </c>
      <c r="F9" s="1" t="inlineStr">
        <is>
          <t>EUR</t>
        </is>
      </c>
      <c r="G9" s="3" t="n">
        <v>57.4</v>
      </c>
      <c r="H9" s="3" t="n">
        <v>86.7</v>
      </c>
      <c r="I9" s="3" t="n">
        <v>65.02500000000001</v>
      </c>
      <c r="J9" s="3" t="n">
        <v>29.3</v>
      </c>
      <c r="K9" s="4" t="n">
        <v>33.79</v>
      </c>
      <c r="L9" s="1" t="b">
        <v>1</v>
      </c>
      <c r="M9" s="1" t="b">
        <v>0</v>
      </c>
      <c r="N9" s="4" t="n">
        <v>4.06</v>
      </c>
      <c r="O9" s="4" t="n">
        <v>56.81</v>
      </c>
      <c r="P9" s="4" t="n">
        <v>18.47</v>
      </c>
      <c r="Q9" s="4" t="n">
        <v>15.29</v>
      </c>
      <c r="R9" s="4" t="n">
        <v>36.11</v>
      </c>
      <c r="S9" s="5" t="n">
        <v>77.68000000000001</v>
      </c>
      <c r="T9" s="6" t="n">
        <v>2935608320</v>
      </c>
      <c r="U9" s="1" t="inlineStr">
        <is>
          <t>validated</t>
        </is>
      </c>
      <c r="V9" s="2" t="inlineStr">
        <is>
          <t>Yahoo Finance 1Y daily history</t>
        </is>
      </c>
      <c r="W9" s="1" t="inlineStr">
        <is>
          <t>2026-10-03T14:53:00</t>
        </is>
      </c>
      <c r="X9" s="7" t="inlineStr">
        <is>
          <t>https://finance.yahoo.com/quote/ROVI.MC</t>
        </is>
      </c>
      <c r="Y9" s="2" t="inlineStr">
        <is>
          <t>Η Laboratorios Farmaceuticos Rovi, S.A. έχει Final Score 77.68/100.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4.06%: θετικό — αποτίμηση/παραγωγή ελεύθερων ταμειακών ροών. ROIC 18.47%: ισχυρό θετικό — αποδοτικότητα του επενδεδυμένου κεφαλαίου. FCF Growth 56.81%: ισχυρό θετικό — ρυθμός μεταβολής ελεύθερων ταμειακών ροών.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2026-11-05. Η ανάλυση είναι επεξήγηση του μοντέλου και όχι σύσταση αγοράς ή πώλησης.</t>
        </is>
      </c>
    </row>
    <row r="10" hidden="1" ht="15.6" customHeight="1">
      <c r="A10" s="1" t="n">
        <v>9</v>
      </c>
      <c r="B10" s="1" t="inlineStr">
        <is>
          <t>RHM.DE</t>
        </is>
      </c>
      <c r="C10" s="2" t="inlineStr">
        <is>
          <t>Rheinmetall AG</t>
        </is>
      </c>
      <c r="D10" s="1" t="inlineStr">
        <is>
          <t>Industrials</t>
        </is>
      </c>
      <c r="E10" s="1" t="inlineStr">
        <is>
          <t>Germany</t>
        </is>
      </c>
      <c r="F10" s="1" t="inlineStr">
        <is>
          <t>EUR</t>
        </is>
      </c>
      <c r="G10" s="3" t="n">
        <v>956.9</v>
      </c>
      <c r="H10" s="3" t="n">
        <v>2008</v>
      </c>
      <c r="I10" s="3" t="n">
        <v>1506</v>
      </c>
      <c r="J10" s="3" t="n">
        <v>1051.1</v>
      </c>
      <c r="K10" s="4" t="n">
        <v>52.35</v>
      </c>
      <c r="L10" s="1" t="b">
        <v>1</v>
      </c>
      <c r="M10" s="1" t="b">
        <v>1</v>
      </c>
      <c r="N10" s="4" t="n">
        <v>3.17</v>
      </c>
      <c r="O10" s="4" t="n">
        <v>43.22</v>
      </c>
      <c r="P10" s="4" t="n">
        <v>21.27</v>
      </c>
      <c r="Q10" s="4" t="n">
        <v>33.55</v>
      </c>
      <c r="R10" s="4" t="n">
        <v>43.59</v>
      </c>
      <c r="S10" s="5" t="n">
        <v>76.84</v>
      </c>
      <c r="T10" s="6" t="n">
        <v>44656672768</v>
      </c>
      <c r="U10" s="1" t="inlineStr">
        <is>
          <t>validated</t>
        </is>
      </c>
      <c r="V10" s="2" t="inlineStr">
        <is>
          <t>Yahoo Finance 1Y daily history</t>
        </is>
      </c>
      <c r="W10" s="1" t="inlineStr">
        <is>
          <t>2026-10-03T14:53:11</t>
        </is>
      </c>
      <c r="X10" s="7" t="inlineStr">
        <is>
          <t>https://finance.yahoo.com/quote/RHM.DE</t>
        </is>
      </c>
      <c r="Y10" s="2" t="inlineStr">
        <is>
          <t>Η Rheinmetall AG έχει Final Score 76.84/100.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ROIC 21.27%: ισχυρό θετικό — αποδοτικότητα του επενδεδυμένου κεφαλαίου. FCF Growth 43.22%: ισχυρό θετικό — ρυθμός μεταβολής ελεύθερων ταμειακών ροών. Forward Revenue 33.55%: ισχυρό θετικό — προσδοκώμενη ανάπτυξη εσόδων.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2026-11-05. Η ανάλυση είναι επεξήγηση του μοντέλου και όχι σύσταση αγοράς ή πώλησης.</t>
        </is>
      </c>
    </row>
    <row r="11" ht="15.6" customHeight="1">
      <c r="A11" s="1" t="n">
        <v>10</v>
      </c>
      <c r="B11" s="1" t="inlineStr">
        <is>
          <t>CDE</t>
        </is>
      </c>
      <c r="C11" s="2" t="inlineStr">
        <is>
          <t>Coeur Mining, Inc.</t>
        </is>
      </c>
      <c r="D11" s="1" t="inlineStr">
        <is>
          <t>Basic Materials</t>
        </is>
      </c>
      <c r="E11" s="1" t="inlineStr">
        <is>
          <t>United States</t>
        </is>
      </c>
      <c r="F11" s="1" t="inlineStr">
        <is>
          <t>USD</t>
        </is>
      </c>
      <c r="G11" s="3" t="n">
        <v>17.66</v>
      </c>
      <c r="H11" s="3" t="n">
        <v>27.77</v>
      </c>
      <c r="I11" s="3" t="n">
        <v>20.8275</v>
      </c>
      <c r="J11" s="3" t="n">
        <v>10.11</v>
      </c>
      <c r="K11" s="4" t="n">
        <v>36.41</v>
      </c>
      <c r="L11" s="1" t="b">
        <v>1</v>
      </c>
      <c r="M11" s="1" t="b">
        <v>0</v>
      </c>
      <c r="N11" s="4" t="n">
        <v>3.67</v>
      </c>
      <c r="O11" s="4" t="n"/>
      <c r="P11" s="4" t="n">
        <v>18.5</v>
      </c>
      <c r="Q11" s="4" t="n">
        <v>25.56</v>
      </c>
      <c r="R11" s="4" t="n">
        <v>55.8</v>
      </c>
      <c r="S11" s="5" t="n">
        <v>75.70999999999999</v>
      </c>
      <c r="T11" s="6" t="n">
        <v>18153330688</v>
      </c>
      <c r="U11" s="1" t="inlineStr">
        <is>
          <t>validated</t>
        </is>
      </c>
      <c r="V11" s="2" t="inlineStr">
        <is>
          <t>Yahoo Finance 1Y daily history</t>
        </is>
      </c>
      <c r="W11" s="1" t="inlineStr">
        <is>
          <t>2026-10-03T14:52:29</t>
        </is>
      </c>
      <c r="X11" s="7" t="inlineStr">
        <is>
          <t>https://finance.yahoo.com/quote/CDE</t>
        </is>
      </c>
      <c r="Y11" s="2" t="inlineStr">
        <is>
          <t>Η Coeur Mining, Inc. έχει Final Score 75.71/100.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3.67%: θετικό — αποτίμηση/παραγωγή ελεύθερων ταμειακών ροών. ROIC 18.50%: ισχυρό θετικό — αποδοτικότητα του επενδεδυμένου κεφαλαίου. Forward Revenue 25.56%: ισχυρό θετικό — προσδοκώμενη ανάπτυξη εσόδων. Αδύνατα σημεία/κίνδυνοι: Λείπουν δεδομένα για: FCF Growth. Ελλιπή πεδία: FCF Growth.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2026-10-28. Η ανάλυση είναι επεξήγηση του μοντέλου και όχι σύσταση αγοράς ή πώλησης.</t>
        </is>
      </c>
    </row>
    <row r="12" ht="15.6" customHeight="1">
      <c r="A12" s="1" t="n">
        <v>11</v>
      </c>
      <c r="B12" s="1" t="inlineStr">
        <is>
          <t>RDDT</t>
        </is>
      </c>
      <c r="C12" s="2" t="inlineStr">
        <is>
          <t>Reddit, Inc.</t>
        </is>
      </c>
      <c r="D12" s="1" t="inlineStr">
        <is>
          <t>Communication Services</t>
        </is>
      </c>
      <c r="E12" s="1" t="inlineStr">
        <is>
          <t>United States</t>
        </is>
      </c>
      <c r="F12" s="1" t="inlineStr">
        <is>
          <t>USD</t>
        </is>
      </c>
      <c r="G12" s="3" t="n">
        <v>147.86</v>
      </c>
      <c r="H12" s="3" t="n">
        <v>263.5</v>
      </c>
      <c r="I12" s="3" t="n">
        <v>197.625</v>
      </c>
      <c r="J12" s="3" t="n">
        <v>115.64</v>
      </c>
      <c r="K12" s="4" t="n">
        <v>43.89</v>
      </c>
      <c r="L12" s="1" t="b">
        <v>1</v>
      </c>
      <c r="M12" s="1" t="b">
        <v>0</v>
      </c>
      <c r="N12" s="4" t="n">
        <v>2.41</v>
      </c>
      <c r="O12" s="4" t="n">
        <v>217.01</v>
      </c>
      <c r="P12" s="4" t="n">
        <v>15.09</v>
      </c>
      <c r="Q12" s="4" t="n">
        <v>31.81</v>
      </c>
      <c r="R12" s="4" t="n">
        <v>31.42</v>
      </c>
      <c r="S12" s="5" t="n">
        <v>74.95</v>
      </c>
      <c r="T12" s="6" t="n">
        <v>28447748096</v>
      </c>
      <c r="U12" s="1" t="inlineStr">
        <is>
          <t>validated</t>
        </is>
      </c>
      <c r="V12" s="2" t="inlineStr">
        <is>
          <t>Yahoo Finance 1Y daily history</t>
        </is>
      </c>
      <c r="W12" s="1" t="inlineStr">
        <is>
          <t>2026-10-03T14:52:29</t>
        </is>
      </c>
      <c r="X12" s="7" t="inlineStr">
        <is>
          <t>https://finance.yahoo.com/quote/RDDT</t>
        </is>
      </c>
      <c r="Y12" s="2" t="inlineStr">
        <is>
          <t>Η Reddit, Inc. έχει Final Score 74.95/100.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ROIC 15.09%: ισχυρό θετικό — αποδοτικότητα του επενδεδυμένου κεφαλαίου. FCF Growth 217.01%: ισχυρό θετικό — ρυθμός μεταβολής ελεύθερων ταμειακών ροών. Forward Revenue 31.81%: ισχυρό θετικό — προσδοκώμενη ανάπτυξη εσόδων. Αδύνατα σημεία/κίνδυνοι: FCF Yield 2.41%: αρνητικό — αποτίμηση/παραγωγή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2026-10-29. Η ανάλυση είναι επεξήγηση του μοντέλου και όχι σύσταση αγοράς ή πώλησης.</t>
        </is>
      </c>
    </row>
    <row r="13" ht="15.6" customHeight="1">
      <c r="A13" s="1" t="n">
        <v>12</v>
      </c>
      <c r="B13" s="1" t="inlineStr">
        <is>
          <t>SNDK</t>
        </is>
      </c>
      <c r="C13" s="2" t="inlineStr">
        <is>
          <t>Sandisk Corporation</t>
        </is>
      </c>
      <c r="D13" s="1" t="inlineStr">
        <is>
          <t>Technology</t>
        </is>
      </c>
      <c r="E13" s="1" t="inlineStr">
        <is>
          <t>United States</t>
        </is>
      </c>
      <c r="F13" s="1" t="inlineStr">
        <is>
          <t>USD</t>
        </is>
      </c>
      <c r="G13" s="3" t="n">
        <v>1719.99</v>
      </c>
      <c r="H13" s="3" t="n">
        <v>2354.3899</v>
      </c>
      <c r="I13" s="3" t="n">
        <v>1765.7924</v>
      </c>
      <c r="J13" s="3" t="n">
        <v>634.3999</v>
      </c>
      <c r="K13" s="4" t="n">
        <v>26.95</v>
      </c>
      <c r="L13" s="1" t="b">
        <v>1</v>
      </c>
      <c r="M13" s="1" t="b">
        <v>0</v>
      </c>
      <c r="N13" s="4" t="n">
        <v>4.56</v>
      </c>
      <c r="O13" s="4" t="n"/>
      <c r="P13" s="4" t="n">
        <v>69.59</v>
      </c>
      <c r="Q13" s="4" t="n">
        <v>18.28</v>
      </c>
      <c r="R13" s="4" t="n">
        <v>23.18</v>
      </c>
      <c r="S13" s="5" t="n">
        <v>74.52</v>
      </c>
      <c r="T13" s="6" t="n">
        <v>251839234048</v>
      </c>
      <c r="U13" s="1" t="inlineStr">
        <is>
          <t>validated</t>
        </is>
      </c>
      <c r="V13" s="2" t="inlineStr">
        <is>
          <t>Yahoo Finance 1Y daily history</t>
        </is>
      </c>
      <c r="W13" s="1" t="inlineStr">
        <is>
          <t>2026-10-03T14:52:18</t>
        </is>
      </c>
      <c r="X13" s="7" t="inlineStr">
        <is>
          <t>https://finance.yahoo.com/quote/SNDK</t>
        </is>
      </c>
      <c r="Y13" s="2" t="inlineStr">
        <is>
          <t>Η Sandisk Corporation έχει Final Score 74.52/100.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4.56%: ισχυρό θετικό — αποτίμηση/παραγωγή ελεύθερων ταμειακών ροών. ROIC 69.59%: ισχυρό θετικό — αποδοτικότητα του επενδεδυμένου κεφαλαίου. Αδύνατα σημεία/κίνδυνοι: Forward Revenue 18.28%: αρνητικό — προσδοκώμενη ανάπτυξη εσόδων. Ελλιπή πεδία: FCF Growth.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2026-10-29. Η ανάλυση είναι επεξήγηση του μοντέλου και όχι σύσταση αγοράς ή πώλησης.</t>
        </is>
      </c>
    </row>
    <row r="14" ht="15.6" customHeight="1">
      <c r="A14" s="1" t="n">
        <v>13</v>
      </c>
      <c r="B14" s="1" t="inlineStr">
        <is>
          <t>AU</t>
        </is>
      </c>
      <c r="C14" s="2" t="inlineStr">
        <is>
          <t>AngloGold Ashanti plc</t>
        </is>
      </c>
      <c r="D14" s="1" t="inlineStr">
        <is>
          <t>Basic Materials</t>
        </is>
      </c>
      <c r="E14" s="1" t="inlineStr">
        <is>
          <t>United States</t>
        </is>
      </c>
      <c r="F14" s="1" t="inlineStr">
        <is>
          <t>USD</t>
        </is>
      </c>
      <c r="G14" s="3" t="n">
        <v>94.92</v>
      </c>
      <c r="H14" s="3" t="n">
        <v>129.14</v>
      </c>
      <c r="I14" s="3" t="n">
        <v>96.855</v>
      </c>
      <c r="J14" s="3" t="n">
        <v>34.22</v>
      </c>
      <c r="K14" s="4" t="n">
        <v>26.5</v>
      </c>
      <c r="L14" s="1" t="b">
        <v>1</v>
      </c>
      <c r="M14" s="1" t="b">
        <v>0</v>
      </c>
      <c r="N14" s="4" t="n">
        <v>6.95</v>
      </c>
      <c r="O14" s="4" t="n">
        <v>279.84</v>
      </c>
      <c r="P14" s="4" t="n">
        <v>31.2</v>
      </c>
      <c r="Q14" s="4" t="n">
        <v>8.33</v>
      </c>
      <c r="R14" s="4" t="n">
        <v>16.99</v>
      </c>
      <c r="S14" s="5" t="n">
        <v>73.39</v>
      </c>
      <c r="T14" s="6" t="n">
        <v>48007614464</v>
      </c>
      <c r="U14" s="1" t="inlineStr">
        <is>
          <t>validated</t>
        </is>
      </c>
      <c r="V14" s="2" t="inlineStr">
        <is>
          <t>Yahoo Finance 1Y daily history</t>
        </is>
      </c>
      <c r="W14" s="1" t="inlineStr">
        <is>
          <t>2026-10-03T14:52:29</t>
        </is>
      </c>
      <c r="X14" s="7" t="inlineStr">
        <is>
          <t>https://finance.yahoo.com/quote/AU</t>
        </is>
      </c>
      <c r="Y14" s="2" t="inlineStr">
        <is>
          <t>Η AngloGold Ashanti plc έχει Final Score 73.39/100.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6.95%: ισχυρό θετικό — αποτίμηση/παραγωγή ελεύθερων ταμειακών ροών. ROIC 31.20%: ισχυρό θετικό — αποδοτικότητα του επενδεδυμένου κεφαλαίου. FCF Growth 279.84%: θετικό — ρυθμός μεταβολής ελεύθερων ταμειακών ροών. Αδύνατα σημεία/κίνδυνοι: Forward Revenue 8.33%: ισχυρό αρνητικό — προσδοκώμενη ανάπτυξη εσόδων. Forward EPS 16.99%: ισχυρό αρνητικό — προσδοκώμενη ανάπτυξη κερδών ανά μετοχή.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2026-11-05. Η ανάλυση είναι επεξήγηση του μοντέλου και όχι σύσταση αγοράς ή πώλησης.</t>
        </is>
      </c>
    </row>
    <row r="15" ht="15.6" customHeight="1">
      <c r="A15" s="1" t="n">
        <v>14</v>
      </c>
      <c r="B15" s="1" t="inlineStr">
        <is>
          <t>ALNY</t>
        </is>
      </c>
      <c r="C15" s="2" t="inlineStr">
        <is>
          <t>Alnylam Pharmaceuticals, Inc.</t>
        </is>
      </c>
      <c r="D15" s="1" t="inlineStr">
        <is>
          <t>Healthcare</t>
        </is>
      </c>
      <c r="E15" s="1" t="inlineStr">
        <is>
          <t>United States</t>
        </is>
      </c>
      <c r="F15" s="1" t="inlineStr">
        <is>
          <t>USD</t>
        </is>
      </c>
      <c r="G15" s="3" t="n">
        <v>219.72</v>
      </c>
      <c r="H15" s="3" t="n">
        <v>495.55</v>
      </c>
      <c r="I15" s="3" t="n">
        <v>371.6625</v>
      </c>
      <c r="J15" s="3" t="n">
        <v>275.83</v>
      </c>
      <c r="K15" s="4" t="n">
        <v>55.66</v>
      </c>
      <c r="L15" s="1" t="b">
        <v>1</v>
      </c>
      <c r="M15" s="1" t="b">
        <v>0</v>
      </c>
      <c r="N15" s="4" t="n">
        <v>1.58</v>
      </c>
      <c r="O15" s="4" t="n"/>
      <c r="P15" s="4" t="n">
        <v>27.1</v>
      </c>
      <c r="Q15" s="4" t="n">
        <v>26.68</v>
      </c>
      <c r="R15" s="4" t="n">
        <v>40.62</v>
      </c>
      <c r="S15" s="5" t="n">
        <v>73.3</v>
      </c>
      <c r="T15" s="6" t="n">
        <v>29400539136</v>
      </c>
      <c r="U15" s="1" t="inlineStr">
        <is>
          <t>validated</t>
        </is>
      </c>
      <c r="V15" s="2" t="inlineStr">
        <is>
          <t>Yahoo Finance 1Y daily history</t>
        </is>
      </c>
      <c r="W15" s="1" t="inlineStr">
        <is>
          <t>2026-10-03T14:52:37</t>
        </is>
      </c>
      <c r="X15" s="7" t="inlineStr">
        <is>
          <t>https://finance.yahoo.com/quote/ALNY</t>
        </is>
      </c>
      <c r="Y15" s="2" t="inlineStr">
        <is>
          <t>Η Alnylam Pharmaceuticals, Inc. έχει Final Score 73.30/100.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1.58%: θετικό — αποτίμηση/παραγωγή ελεύθερων ταμειακών ροών. ROIC 27.10%: ισχυρό θετικό — αποδοτικότητα του επενδεδυμένου κεφαλαίου. Forward Revenue 26.68%: ισχυρό θετικό — προσδοκώμενη ανάπτυξη εσόδων. Αδύνατα σημεία/κίνδυνοι: Λείπουν δεδομένα για: FCF Growth. Ελλιπή πεδία: FCF Growth.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2026-10-29. Η ανάλυση είναι επεξήγηση του μοντέλου και όχι σύσταση αγοράς ή πώλησης.</t>
        </is>
      </c>
    </row>
    <row r="16" hidden="1" ht="15.6" customHeight="1">
      <c r="A16" s="1" t="n">
        <v>15</v>
      </c>
      <c r="B16" s="1" t="inlineStr">
        <is>
          <t>LOGI-B.ST</t>
        </is>
      </c>
      <c r="C16" s="2" t="inlineStr">
        <is>
          <t>Logistea AB (publ)</t>
        </is>
      </c>
      <c r="D16" s="1" t="inlineStr">
        <is>
          <t>Real Estate</t>
        </is>
      </c>
      <c r="E16" s="1" t="inlineStr">
        <is>
          <t>Sweden</t>
        </is>
      </c>
      <c r="F16" s="1" t="inlineStr">
        <is>
          <t>SEK</t>
        </is>
      </c>
      <c r="G16" s="3" t="n">
        <v>12.22</v>
      </c>
      <c r="H16" s="3" t="n">
        <v>16.3</v>
      </c>
      <c r="I16" s="3" t="n">
        <v>12.225</v>
      </c>
      <c r="J16" s="3" t="n">
        <v>4.08</v>
      </c>
      <c r="K16" s="4" t="n">
        <v>25.03</v>
      </c>
      <c r="L16" s="1" t="b">
        <v>1</v>
      </c>
      <c r="M16" s="1" t="b">
        <v>0</v>
      </c>
      <c r="N16" s="4" t="n">
        <v>7.23</v>
      </c>
      <c r="O16" s="4" t="n">
        <v>111.74</v>
      </c>
      <c r="P16" s="4" t="n">
        <v>4.16</v>
      </c>
      <c r="Q16" s="4" t="n">
        <v>5.54</v>
      </c>
      <c r="R16" s="4" t="n">
        <v>8.4</v>
      </c>
      <c r="S16" s="5" t="n">
        <v>73.28</v>
      </c>
      <c r="T16" s="6" t="n">
        <v>6241974784</v>
      </c>
      <c r="U16" s="1" t="inlineStr">
        <is>
          <t>validated</t>
        </is>
      </c>
      <c r="V16" s="2" t="inlineStr">
        <is>
          <t>Yahoo Finance 1Y daily history</t>
        </is>
      </c>
      <c r="W16" s="1" t="inlineStr">
        <is>
          <t>2026-10-03T14:52:48</t>
        </is>
      </c>
      <c r="X16" s="7" t="inlineStr">
        <is>
          <t>https://finance.yahoo.com/quote/LOGI-B.ST</t>
        </is>
      </c>
      <c r="Y16" s="2" t="inlineStr">
        <is>
          <t>Η Logistea AB (publ) έχει Final Score 73.28/100.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7.23%: θετικό — αποτίμηση/παραγωγή ελεύθερων ταμειακών ροών. ROIC 4.16%: ισχυρό θετικό — αποδοτικότητα του επενδεδυμένου κεφαλαίου. FCF Growth 111.74%: ισχυρό θετικό — ρυθμός μεταβολής ελεύθερων ταμειακών ροών.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2026-10-22. Η ανάλυση είναι επεξήγηση του μοντέλου και όχι σύσταση αγοράς ή πώλησης.</t>
        </is>
      </c>
    </row>
    <row r="17" ht="15.6" customHeight="1">
      <c r="A17" s="1" t="n">
        <v>16</v>
      </c>
      <c r="B17" s="1" t="inlineStr">
        <is>
          <t>CELH</t>
        </is>
      </c>
      <c r="C17" s="2" t="inlineStr">
        <is>
          <t>Celsius Holdings, Inc.</t>
        </is>
      </c>
      <c r="D17" s="1" t="inlineStr">
        <is>
          <t>Consumer Defensive</t>
        </is>
      </c>
      <c r="E17" s="1" t="inlineStr">
        <is>
          <t>United States</t>
        </is>
      </c>
      <c r="F17" s="1" t="inlineStr">
        <is>
          <t>USD</t>
        </is>
      </c>
      <c r="G17" s="3" t="n">
        <v>26.75</v>
      </c>
      <c r="H17" s="3" t="n">
        <v>66.73999999999999</v>
      </c>
      <c r="I17" s="3" t="n">
        <v>50.055</v>
      </c>
      <c r="J17" s="3" t="n">
        <v>39.99</v>
      </c>
      <c r="K17" s="4" t="n">
        <v>59.92</v>
      </c>
      <c r="L17" s="1" t="b">
        <v>1</v>
      </c>
      <c r="M17" s="1" t="b">
        <v>0</v>
      </c>
      <c r="N17" s="4" t="n">
        <v>4.78</v>
      </c>
      <c r="O17" s="4" t="n">
        <v>35.02</v>
      </c>
      <c r="P17" s="4" t="n">
        <v>21.86</v>
      </c>
      <c r="Q17" s="4" t="n">
        <v>8.51</v>
      </c>
      <c r="R17" s="4" t="n">
        <v>20.91</v>
      </c>
      <c r="S17" s="5" t="n">
        <v>72.34999999999999</v>
      </c>
      <c r="T17" s="6" t="n">
        <v>6768687104</v>
      </c>
      <c r="U17" s="1" t="inlineStr">
        <is>
          <t>validated</t>
        </is>
      </c>
      <c r="V17" s="2" t="inlineStr">
        <is>
          <t>Yahoo Finance 1Y daily history</t>
        </is>
      </c>
      <c r="W17" s="1" t="inlineStr">
        <is>
          <t>2026-10-03T14:53:02</t>
        </is>
      </c>
      <c r="X17" s="7" t="inlineStr">
        <is>
          <t>https://finance.yahoo.com/quote/CELH</t>
        </is>
      </c>
      <c r="Y17" s="2" t="inlineStr">
        <is>
          <t>Η Celsius Holdings, Inc. έχει Final Score 72.35/100.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ROIC 21.86%: ισχυρό θετικό — αποδοτικότητα του επενδεδυμένου κεφαλαίου. FCF Growth 35.02%: ισχυρό θετικό — ρυθμός μεταβολής ελεύθερων ταμειακών ροών. Forward Revenue 8.51%: θετικό — προσδοκώμενη ανάπτυξη εσόδων. Αδύνατα σημεία/κίνδυνοι: FCF Yield 4.78%: ισχυρό αρνητικό — αποτίμηση/παραγωγή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2026-11-09. Η ανάλυση είναι επεξήγηση του μοντέλου και όχι σύσταση αγοράς ή πώλησης.</t>
        </is>
      </c>
    </row>
    <row r="18" ht="15.6" customHeight="1">
      <c r="A18" s="1" t="n">
        <v>17</v>
      </c>
      <c r="B18" s="1" t="inlineStr">
        <is>
          <t>AIP</t>
        </is>
      </c>
      <c r="C18" s="2" t="inlineStr">
        <is>
          <t>Arteris, Inc.</t>
        </is>
      </c>
      <c r="D18" s="1" t="inlineStr">
        <is>
          <t>Technology</t>
        </is>
      </c>
      <c r="E18" s="1" t="inlineStr">
        <is>
          <t>United States</t>
        </is>
      </c>
      <c r="F18" s="1" t="inlineStr">
        <is>
          <t>USD</t>
        </is>
      </c>
      <c r="G18" s="3" t="n">
        <v>24.66</v>
      </c>
      <c r="H18" s="3" t="n">
        <v>50.26</v>
      </c>
      <c r="I18" s="3" t="n">
        <v>37.695</v>
      </c>
      <c r="J18" s="3" t="n">
        <v>25.6</v>
      </c>
      <c r="K18" s="4" t="n">
        <v>50.94</v>
      </c>
      <c r="L18" s="1" t="b">
        <v>1</v>
      </c>
      <c r="M18" s="1" t="b">
        <v>0</v>
      </c>
      <c r="N18" s="4" t="n">
        <v>0.44</v>
      </c>
      <c r="O18" s="4" t="n"/>
      <c r="P18" s="4" t="n">
        <v>254.63</v>
      </c>
      <c r="Q18" s="4" t="n">
        <v>20.95</v>
      </c>
      <c r="R18" s="4" t="n">
        <v>170.74</v>
      </c>
      <c r="S18" s="5" t="n">
        <v>72.25</v>
      </c>
      <c r="T18" s="6" t="n">
        <v>1212090880</v>
      </c>
      <c r="U18" s="1" t="inlineStr">
        <is>
          <t>validated</t>
        </is>
      </c>
      <c r="V18" s="2" t="inlineStr">
        <is>
          <t>Yahoo Finance 1Y daily history</t>
        </is>
      </c>
      <c r="W18" s="1" t="inlineStr">
        <is>
          <t>2026-10-03T14:53:01</t>
        </is>
      </c>
      <c r="X18" s="7" t="inlineStr">
        <is>
          <t>https://finance.yahoo.com/quote/AIP</t>
        </is>
      </c>
      <c r="Y18" s="2" t="inlineStr">
        <is>
          <t>Η Arteris, Inc. έχει Final Score 72.25/100.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0.44%: θετικό — αποτίμηση/παραγωγή ελεύθερων ταμειακών ροών. ROIC 254.63%: ισχυρό θετικό — αποδοτικότητα του επενδεδυμένου κεφαλαίου. Forward EPS 170.74%: ισχυρό θετικό — προσδοκώμενη ανάπτυξη κερδών ανά μετοχή. Αδύνατα σημεία/κίνδυνοι: Forward Revenue 20.95%: αρνητικό — προσδοκώμενη ανάπτυξη εσόδων. Ελλιπή πεδία: FCF Growth. Δεύτερη πηγή: SEC EDGAR. Υπάρχουν ανεξάρτητα στοιχεία, αλλά όχι αρκετά ίδια πεδία για αριθμητική σύγκριση. Έλεγχος δεδομένων: Ακραία τιμή roic: 254.63%.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2026-11-03. Έλεγχος δεδομένων: Ακραία τιμή roic: 254.63%.. Η ανάλυση είναι επεξήγηση του μοντέλου και όχι σύσταση αγοράς ή πώλησης.</t>
        </is>
      </c>
    </row>
    <row r="19" ht="15.6" customHeight="1">
      <c r="A19" s="1" t="n">
        <v>18</v>
      </c>
      <c r="B19" s="1" t="inlineStr">
        <is>
          <t>VRT</t>
        </is>
      </c>
      <c r="C19" s="2" t="inlineStr">
        <is>
          <t>Vertiv Holdings Co</t>
        </is>
      </c>
      <c r="D19" s="1" t="inlineStr">
        <is>
          <t>Industrials</t>
        </is>
      </c>
      <c r="E19" s="1" t="inlineStr">
        <is>
          <t>United States</t>
        </is>
      </c>
      <c r="F19" s="1" t="inlineStr">
        <is>
          <t>USD</t>
        </is>
      </c>
      <c r="G19" s="3" t="n">
        <v>252.18</v>
      </c>
      <c r="H19" s="3" t="n">
        <v>379.935</v>
      </c>
      <c r="I19" s="3" t="n">
        <v>284.9512</v>
      </c>
      <c r="J19" s="3" t="n">
        <v>127.755</v>
      </c>
      <c r="K19" s="4" t="n">
        <v>33.63</v>
      </c>
      <c r="L19" s="1" t="b">
        <v>1</v>
      </c>
      <c r="M19" s="1" t="b">
        <v>0</v>
      </c>
      <c r="N19" s="4" t="n">
        <v>1.94</v>
      </c>
      <c r="O19" s="4" t="n">
        <v>66.26000000000001</v>
      </c>
      <c r="P19" s="4" t="n">
        <v>21.17</v>
      </c>
      <c r="Q19" s="4" t="n">
        <v>30.36</v>
      </c>
      <c r="R19" s="4" t="n">
        <v>36.16</v>
      </c>
      <c r="S19" s="5" t="n">
        <v>71.38</v>
      </c>
      <c r="T19" s="6" t="n">
        <v>97086308352</v>
      </c>
      <c r="U19" s="1" t="inlineStr">
        <is>
          <t>validated</t>
        </is>
      </c>
      <c r="V19" s="2" t="inlineStr">
        <is>
          <t>Yahoo Finance 1Y daily history</t>
        </is>
      </c>
      <c r="W19" s="1" t="inlineStr">
        <is>
          <t>2026-10-03T14:52:43</t>
        </is>
      </c>
      <c r="X19" s="7" t="inlineStr">
        <is>
          <t>https://finance.yahoo.com/quote/VRT</t>
        </is>
      </c>
      <c r="Y19" s="2" t="inlineStr">
        <is>
          <t>Η Vertiv Holdings Co έχει Final Score 71.38/100.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ROIC 21.17%: ισχυρό θετικό — αποδοτικότητα του επενδεδυμένου κεφαλαίου. FCF Growth 66.26%: ισχυρό θετικό — ρυθμός μεταβολής ελεύθερων ταμειακών ροών. Forward Revenue 30.36%: ισχυρό θετικό — προσδοκώμενη ανάπτυξη εσόδων. Αδύνατα σημεία/κίνδυνοι: FCF Yield 1.94%: αρνητικό — αποτίμηση/παραγωγή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2026-10-21. Η ανάλυση είναι επεξήγηση του μοντέλου και όχι σύσταση αγοράς ή πώλησης.</t>
        </is>
      </c>
    </row>
    <row r="20" ht="15.6" customHeight="1">
      <c r="A20" s="1" t="n">
        <v>19</v>
      </c>
      <c r="B20" s="1" t="inlineStr">
        <is>
          <t>IRWD</t>
        </is>
      </c>
      <c r="C20" s="2" t="inlineStr">
        <is>
          <t>Ironwood Pharmaceuticals, Inc.</t>
        </is>
      </c>
      <c r="D20" s="1" t="inlineStr">
        <is>
          <t>Healthcare</t>
        </is>
      </c>
      <c r="E20" s="1" t="inlineStr">
        <is>
          <t>United States</t>
        </is>
      </c>
      <c r="F20" s="1" t="inlineStr">
        <is>
          <t>USD</t>
        </is>
      </c>
      <c r="G20" s="3" t="n">
        <v>3.64</v>
      </c>
      <c r="H20" s="3" t="n">
        <v>5.78</v>
      </c>
      <c r="I20" s="3" t="n">
        <v>4.335</v>
      </c>
      <c r="J20" s="3" t="n">
        <v>2.14</v>
      </c>
      <c r="K20" s="4" t="n">
        <v>37.02</v>
      </c>
      <c r="L20" s="1" t="b">
        <v>1</v>
      </c>
      <c r="M20" s="1" t="b">
        <v>0</v>
      </c>
      <c r="N20" s="4" t="n">
        <v>21.12</v>
      </c>
      <c r="O20" s="4" t="n">
        <v>22.83</v>
      </c>
      <c r="P20" s="4" t="n">
        <v>12.62</v>
      </c>
      <c r="Q20" s="4" t="n">
        <v>4.8</v>
      </c>
      <c r="R20" s="4" t="n">
        <v>23.97</v>
      </c>
      <c r="S20" s="5" t="n">
        <v>71.25</v>
      </c>
      <c r="T20" s="6" t="n">
        <v>601473472</v>
      </c>
      <c r="U20" s="1" t="inlineStr">
        <is>
          <t>validated</t>
        </is>
      </c>
      <c r="V20" s="2" t="inlineStr">
        <is>
          <t>Yahoo Finance 1Y daily history</t>
        </is>
      </c>
      <c r="W20" s="1" t="inlineStr">
        <is>
          <t>2026-10-03T14:53:19</t>
        </is>
      </c>
      <c r="X20" s="7" t="inlineStr">
        <is>
          <t>https://finance.yahoo.com/quote/IRWD</t>
        </is>
      </c>
      <c r="Y20" s="2" t="inlineStr">
        <is>
          <t>Η Ironwood Pharmaceuticals, Inc. έχει Final Score 71.25/100.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21.12%: ισχυρό θετικό — αποτίμηση/παραγωγή ελεύθερων ταμειακών ροών. ROIC 12.62%: θετικό — αποδοτικότητα του επενδεδυμένου κεφαλαίου. FCF Growth 22.83%: θετικό — ρυθμός μεταβολής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2026-11-09. Η ανάλυση είναι επεξήγηση του μοντέλου και όχι σύσταση αγοράς ή πώλησης.</t>
        </is>
      </c>
    </row>
    <row r="21" hidden="1" ht="15.6" customHeight="1">
      <c r="A21" s="1" t="n">
        <v>20</v>
      </c>
      <c r="B21" s="1" t="inlineStr">
        <is>
          <t>KER.PA</t>
        </is>
      </c>
      <c r="C21" s="2" t="inlineStr">
        <is>
          <t>Kering SA</t>
        </is>
      </c>
      <c r="D21" s="1" t="inlineStr">
        <is>
          <t>Consumer Cyclical</t>
        </is>
      </c>
      <c r="E21" s="1" t="inlineStr">
        <is>
          <t>France</t>
        </is>
      </c>
      <c r="F21" s="1" t="inlineStr">
        <is>
          <t>EUR</t>
        </is>
      </c>
      <c r="G21" s="3" t="n">
        <v>210.3</v>
      </c>
      <c r="H21" s="3" t="n">
        <v>354.2</v>
      </c>
      <c r="I21" s="3" t="n">
        <v>265.65</v>
      </c>
      <c r="J21" s="3" t="n">
        <v>143.9</v>
      </c>
      <c r="K21" s="4" t="n">
        <v>40.63</v>
      </c>
      <c r="L21" s="1" t="b">
        <v>1</v>
      </c>
      <c r="M21" s="1" t="b">
        <v>0</v>
      </c>
      <c r="N21" s="4" t="n">
        <v>8.800000000000001</v>
      </c>
      <c r="O21" s="4" t="n">
        <v>62.14</v>
      </c>
      <c r="P21" s="4" t="n">
        <v>1.34</v>
      </c>
      <c r="Q21" s="4" t="n">
        <v>6.11</v>
      </c>
      <c r="R21" s="4" t="n">
        <v>53.22</v>
      </c>
      <c r="S21" s="5" t="n">
        <v>71.11</v>
      </c>
      <c r="T21" s="6" t="n">
        <v>25786587136</v>
      </c>
      <c r="U21" s="1" t="inlineStr">
        <is>
          <t>validated</t>
        </is>
      </c>
      <c r="V21" s="2" t="inlineStr">
        <is>
          <t>Yahoo Finance 1Y daily history</t>
        </is>
      </c>
      <c r="W21" s="1" t="inlineStr">
        <is>
          <t>2026-10-03T14:52:52</t>
        </is>
      </c>
      <c r="X21" s="7" t="inlineStr">
        <is>
          <t>https://finance.yahoo.com/quote/KER.PA</t>
        </is>
      </c>
      <c r="Y21" s="2" t="inlineStr">
        <is>
          <t>Η Kering SA έχει Final Score 71.11/100.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8.80%: ισχυρό θετικό — αποτίμηση/παραγωγή ελεύθερων ταμειακών ροών. FCF Growth 62.14%: θετικό — ρυθμός μεταβολής ελεύθερων ταμειακών ροών. Forward Revenue 6.11%: ισχυρό θετικό — προσδοκώμενη ανάπτυξη εσόδων.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2026-07-28. Η ανάλυση είναι επεξήγηση του μοντέλου και όχι σύσταση αγοράς ή πώλησης.</t>
        </is>
      </c>
    </row>
  </sheetData>
  <conditionalFormatting sqref="K2:K21">
    <cfRule type="expression" priority="3" dxfId="2">
      <formula>$K2&gt;=25</formula>
    </cfRule>
  </conditionalFormatting>
  <conditionalFormatting sqref="S2:S21">
    <cfRule type="expression" priority="1" dxfId="1">
      <formula>$S2&gt;=70</formula>
    </cfRule>
    <cfRule type="expression" priority="2" dxfId="0">
      <formula>$S2&lt;40</formula>
    </cfRule>
  </conditionalFormatting>
  <hyperlinks>
    <hyperlink xmlns:r="http://schemas.openxmlformats.org/officeDocument/2006/relationships" ref="X2" r:id="rId1"/>
    <hyperlink xmlns:r="http://schemas.openxmlformats.org/officeDocument/2006/relationships" ref="X3" r:id="rId2"/>
    <hyperlink xmlns:r="http://schemas.openxmlformats.org/officeDocument/2006/relationships" ref="X4" r:id="rId3"/>
    <hyperlink xmlns:r="http://schemas.openxmlformats.org/officeDocument/2006/relationships" ref="X5" r:id="rId4"/>
    <hyperlink xmlns:r="http://schemas.openxmlformats.org/officeDocument/2006/relationships" ref="X6" r:id="rId5"/>
    <hyperlink xmlns:r="http://schemas.openxmlformats.org/officeDocument/2006/relationships" ref="X7" r:id="rId6"/>
    <hyperlink xmlns:r="http://schemas.openxmlformats.org/officeDocument/2006/relationships" ref="X8" r:id="rId7"/>
    <hyperlink xmlns:r="http://schemas.openxmlformats.org/officeDocument/2006/relationships" ref="X9" r:id="rId8"/>
    <hyperlink xmlns:r="http://schemas.openxmlformats.org/officeDocument/2006/relationships" ref="X10" r:id="rId9"/>
    <hyperlink xmlns:r="http://schemas.openxmlformats.org/officeDocument/2006/relationships" ref="X11" r:id="rId10"/>
    <hyperlink xmlns:r="http://schemas.openxmlformats.org/officeDocument/2006/relationships" ref="X12" r:id="rId11"/>
    <hyperlink xmlns:r="http://schemas.openxmlformats.org/officeDocument/2006/relationships" ref="X13" r:id="rId12"/>
    <hyperlink xmlns:r="http://schemas.openxmlformats.org/officeDocument/2006/relationships" ref="X14" r:id="rId13"/>
    <hyperlink xmlns:r="http://schemas.openxmlformats.org/officeDocument/2006/relationships" ref="X15" r:id="rId14"/>
    <hyperlink xmlns:r="http://schemas.openxmlformats.org/officeDocument/2006/relationships" ref="X16" r:id="rId15"/>
    <hyperlink xmlns:r="http://schemas.openxmlformats.org/officeDocument/2006/relationships" ref="X17" r:id="rId16"/>
    <hyperlink xmlns:r="http://schemas.openxmlformats.org/officeDocument/2006/relationships" ref="X18" r:id="rId17"/>
    <hyperlink xmlns:r="http://schemas.openxmlformats.org/officeDocument/2006/relationships" ref="X19" r:id="rId18"/>
    <hyperlink xmlns:r="http://schemas.openxmlformats.org/officeDocument/2006/relationships" ref="X20" r:id="rId19"/>
    <hyperlink xmlns:r="http://schemas.openxmlformats.org/officeDocument/2006/relationships" ref="X21" r:id="rId20"/>
  </hyperlinks>
  <pageMargins left="0.75" right="0.75" top="1" bottom="1" header="0.5" footer="0.5"/>
  <tableParts count="1">
    <tablePart xmlns:r="http://schemas.openxmlformats.org/officeDocument/2006/relationships" r:id="rId2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2026-10-01T19:41:42Z</dcterms:created>
  <dcterms:modified xmlns:dcterms="http://purl.org/dc/terms/" xmlns:xsi="http://www.w3.org/2001/XMLSchema-instance" xsi:type="dcterms:W3CDTF">2026-10-06T15:09:29Z</dcterms:modified>
  <cp:lastModifiedBy>Δημήτριος Αναγνωστου</cp:lastModifiedBy>
</cp:coreProperties>
</file>