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30936" windowHeight="16776" tabRatio="600" firstSheet="0" activeTab="0" autoFilterDateGrouping="1"/>
  </bookViews>
  <sheets>
    <sheet xmlns:r="http://schemas.openxmlformats.org/officeDocument/2006/relationships" name="Φύλλο1" sheetId="1" state="visible" r:id="rId1"/>
    <sheet xmlns:r="http://schemas.openxmlformats.org/officeDocument/2006/relationships" name="Sold" sheetId="2" state="visible" r:id="rId2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.00\ &quot;€&quot;"/>
    <numFmt numFmtId="165" formatCode="dd/mm/yyyy"/>
    <numFmt numFmtId="166" formatCode="0.########"/>
    <numFmt numFmtId="167" formatCode="0.00&quot;%&quot;"/>
    <numFmt numFmtId="168" formatCode="yyyy-mm-dd h:mm:ss"/>
    <numFmt numFmtId="169" formatCode="#,##0.00 &quot;€&quot;"/>
  </numFmts>
  <fonts count="5">
    <font>
      <name val="Calibri"/>
      <charset val="161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000000"/>
      <sz val="11"/>
    </font>
    <font>
      <b val="1"/>
      <color rgb="00FFFFFF"/>
    </font>
    <font>
      <color rgb="00000000"/>
    </font>
  </fonts>
  <fills count="12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FFF00"/>
      </patternFill>
    </fill>
    <fill>
      <patternFill patternType="solid">
        <fgColor rgb="FFD9D9D9"/>
      </patternFill>
    </fill>
    <fill>
      <patternFill patternType="solid">
        <fgColor rgb="FFB4C6E7"/>
      </patternFill>
    </fill>
    <fill>
      <patternFill patternType="solid">
        <fgColor rgb="FFFCE4D6"/>
      </patternFill>
    </fill>
    <fill>
      <patternFill patternType="solid">
        <fgColor rgb="004472C4"/>
      </patternFill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B4C6E7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bottom style="thin">
        <color rgb="00D9E2F3"/>
      </bottom>
    </border>
    <border>
      <left style="medium">
        <color rgb="00000000"/>
      </left>
      <right style="medium">
        <color rgb="00000000"/>
      </right>
      <top style="medium">
        <color rgb="00000000"/>
      </top>
    </border>
    <border>
      <left style="medium">
        <color rgb="00000000"/>
      </left>
      <right style="medium">
        <color rgb="00000000"/>
      </right>
      <bottom style="medium">
        <color rgb="00000000"/>
      </bottom>
    </border>
    <border>
      <top style="medium">
        <color rgb="00000000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164" fontId="2" fillId="3" borderId="3" applyAlignment="1" pivotButton="0" quotePrefix="0" xfId="0">
      <alignment horizontal="center" vertical="center"/>
    </xf>
    <xf numFmtId="10" fontId="2" fillId="6" borderId="0" applyAlignment="1" pivotButton="0" quotePrefix="0" xfId="0">
      <alignment horizontal="center" vertical="center"/>
    </xf>
    <xf numFmtId="10" fontId="2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4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10" fontId="2" fillId="5" borderId="0" applyAlignment="1" pivotButton="0" quotePrefix="0" xfId="0">
      <alignment horizontal="center" vertical="center"/>
    </xf>
    <xf numFmtId="0" fontId="3" fillId="7" borderId="5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9" fontId="0" fillId="0" borderId="0" pivotButton="0" quotePrefix="0" xfId="0"/>
    <xf numFmtId="166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0" fontId="4" fillId="8" borderId="6" applyAlignment="1" pivotButton="0" quotePrefix="0" xfId="0">
      <alignment horizontal="center" vertical="center"/>
    </xf>
    <xf numFmtId="0" fontId="4" fillId="9" borderId="8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/>
    </xf>
    <xf numFmtId="169" fontId="4" fillId="8" borderId="7" applyAlignment="1" pivotButton="0" quotePrefix="0" xfId="0">
      <alignment horizontal="center" vertical="center"/>
    </xf>
    <xf numFmtId="10" fontId="4" fillId="9" borderId="0" applyAlignment="1" pivotButton="0" quotePrefix="0" xfId="0">
      <alignment horizontal="center" vertical="center"/>
    </xf>
    <xf numFmtId="10" fontId="4" fillId="10" borderId="0" applyAlignment="1" pivotButton="0" quotePrefix="0" xfId="0">
      <alignment horizontal="center" vertical="center"/>
    </xf>
    <xf numFmtId="10" fontId="4" fillId="11" borderId="0" applyAlignment="1" pivotButton="0" quotePrefix="0" xfId="0">
      <alignment horizontal="center" vertical="center"/>
    </xf>
  </cellXfs>
  <cellStyles count="1">
    <cellStyle name="Κανονικό" xfId="0" builtinId="0"/>
  </cellStyles>
  <dxfs count="10">
    <dxf>
      <fill>
        <patternFill patternType="solid">
          <fgColor rgb="FF70AD47"/>
        </patternFill>
      </fill>
    </dxf>
    <dxf>
      <fill>
        <patternFill patternType="solid">
          <fgColor rgb="FFA9D18E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70AD4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tockSummary" displayName="StockSummary" ref="A1:T69" headerRowCount="1">
  <autoFilter ref="A1:T69"/>
  <tableColumns count="20">
    <tableColumn id="1" name="symbol"/>
    <tableColumn id="2" name="name"/>
    <tableColumn id="3" name="sector"/>
    <tableColumn id="4" name="country"/>
    <tableColumn id="5" name="platform"/>
    <tableColumn id="6" name="purchase_date"/>
    <tableColumn id="7" name="purchase_price"/>
    <tableColumn id="8" name="quantity"/>
    <tableColumn id="9" name="current_price"/>
    <tableColumn id="10" name="market_value"/>
    <tableColumn id="11" name="percent_change"/>
    <tableColumn id="12" name="monthly_percent_change"/>
    <tableColumn id="13" name="avg_monthly_change"/>
    <tableColumn id="14" name="portfolio_weight"/>
    <tableColumn id="15" name="vuaa_return"/>
    <tableColumn id="16" name="excess_return"/>
    <tableColumn id="17" name="fcf_yield"/>
    <tableColumn id="18" name="fcf_growth"/>
    <tableColumn id="19" name="roic"/>
    <tableColumn id="20" name="final_sco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ldSummary" displayName="SoldSummary" ref="A1:T2" headerRowCount="1">
  <autoFilter ref="A1:T2"/>
  <tableColumns count="20">
    <tableColumn id="1" name="symbol"/>
    <tableColumn id="2" name="name"/>
    <tableColumn id="3" name="sector"/>
    <tableColumn id="4" name="country"/>
    <tableColumn id="5" name="platform"/>
    <tableColumn id="6" name="purchase_date"/>
    <tableColumn id="7" name="purchase_price"/>
    <tableColumn id="8" name="quantity"/>
    <tableColumn id="9" name="current_price"/>
    <tableColumn id="10" name="market_value"/>
    <tableColumn id="11" name="percent_change"/>
    <tableColumn id="12" name="monthly_percent_change"/>
    <tableColumn id="13" name="avg_monthly_change"/>
    <tableColumn id="14" name="portfolio_weight"/>
    <tableColumn id="15" name="vuaa_return"/>
    <tableColumn id="16" name="excess_return"/>
    <tableColumn id="17" name="fcf_yield"/>
    <tableColumn id="18" name="fcf_growth"/>
    <tableColumn id="19" name="roic"/>
    <tableColumn id="20" name="final_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6"/>
  <sheetViews>
    <sheetView tabSelected="1" workbookViewId="0">
      <pane ySplit="1" topLeftCell="A2" activePane="bottomLeft" state="frozen"/>
      <selection pane="bottomLeft" activeCell="D70" sqref="D70"/>
    </sheetView>
  </sheetViews>
  <sheetFormatPr baseColWidth="8" defaultRowHeight="14.4"/>
  <cols>
    <col width="12" customWidth="1" min="1" max="1"/>
    <col width="38" customWidth="1" min="2" max="2"/>
    <col width="22" customWidth="1" min="3" max="3"/>
    <col width="18" customWidth="1" min="4" max="4"/>
    <col width="13" customWidth="1" min="5" max="5"/>
    <col width="15" customWidth="1" min="6" max="6"/>
    <col width="16" customWidth="1" min="7" max="7"/>
    <col width="12" customWidth="1" min="8" max="8"/>
    <col width="16" customWidth="1" min="9" max="10"/>
    <col width="16" customWidth="1" min="10" max="10"/>
    <col width="17" customWidth="1" min="11" max="11"/>
    <col width="25" customWidth="1" min="12" max="12"/>
    <col width="22" customWidth="1" min="13" max="13"/>
    <col width="18" customWidth="1" min="14" max="14"/>
    <col width="14" customWidth="1" min="15" max="15"/>
    <col width="15" customWidth="1" min="16" max="16"/>
    <col width="14" customWidth="1" min="17" max="17"/>
    <col width="15" customWidth="1" min="18" max="18"/>
    <col width="12" customWidth="1" min="19" max="19"/>
    <col width="14" customWidth="1" min="20" max="24"/>
    <col width="9" customWidth="1" min="25" max="114"/>
    <col width="10" customWidth="1" min="115" max="1014"/>
    <col width="11" customWidth="1" min="1015" max="10014"/>
    <col width="12" customWidth="1" min="10015" max="16384"/>
  </cols>
  <sheetData>
    <row r="1" ht="24" customHeight="1">
      <c r="A1" s="18" t="inlineStr">
        <is>
          <t>symbol</t>
        </is>
      </c>
      <c r="B1" s="18" t="inlineStr">
        <is>
          <t>name</t>
        </is>
      </c>
      <c r="C1" s="18" t="inlineStr">
        <is>
          <t>sector</t>
        </is>
      </c>
      <c r="D1" s="18" t="inlineStr">
        <is>
          <t>country</t>
        </is>
      </c>
      <c r="E1" s="18" t="inlineStr">
        <is>
          <t>platform</t>
        </is>
      </c>
      <c r="F1" s="18" t="inlineStr">
        <is>
          <t>purchase_date</t>
        </is>
      </c>
      <c r="G1" s="18" t="inlineStr">
        <is>
          <t>purchase_price</t>
        </is>
      </c>
      <c r="H1" s="18" t="inlineStr">
        <is>
          <t>quantity</t>
        </is>
      </c>
      <c r="I1" s="18" t="inlineStr">
        <is>
          <t>current_price</t>
        </is>
      </c>
      <c r="J1" s="18" t="inlineStr">
        <is>
          <t>market_value</t>
        </is>
      </c>
      <c r="K1" s="18" t="inlineStr">
        <is>
          <t>percent_change</t>
        </is>
      </c>
      <c r="L1" s="18" t="inlineStr">
        <is>
          <t>monthly_percent_change</t>
        </is>
      </c>
      <c r="M1" s="18" t="inlineStr">
        <is>
          <t>avg_monthly_change</t>
        </is>
      </c>
      <c r="N1" s="18" t="inlineStr">
        <is>
          <t>portfolio_weight</t>
        </is>
      </c>
      <c r="O1" s="18" t="inlineStr">
        <is>
          <t>vuaa_return</t>
        </is>
      </c>
      <c r="P1" s="18" t="inlineStr">
        <is>
          <t>excess_return</t>
        </is>
      </c>
      <c r="Q1" s="18" t="inlineStr">
        <is>
          <t>fcf_yield</t>
        </is>
      </c>
      <c r="R1" s="18" t="inlineStr">
        <is>
          <t>fcf_growth</t>
        </is>
      </c>
      <c r="S1" s="18" t="inlineStr">
        <is>
          <t>roic</t>
        </is>
      </c>
      <c r="T1" s="18" t="inlineStr">
        <is>
          <t>final_score</t>
        </is>
      </c>
    </row>
    <row r="2">
      <c r="A2" s="3" t="inlineStr">
        <is>
          <t>VUAA.L</t>
        </is>
      </c>
      <c r="B2" t="inlineStr">
        <is>
          <t>Vanguard S&amp;P 500 (Acc)</t>
        </is>
      </c>
      <c r="C2" s="3" t="n"/>
      <c r="D2" s="3" t="n"/>
      <c r="E2" s="3" t="inlineStr">
        <is>
          <t>Trading212</t>
        </is>
      </c>
      <c r="F2" s="19" t="n">
        <v>46224</v>
      </c>
      <c r="G2" s="20" t="n">
        <v>126.56</v>
      </c>
      <c r="H2" s="21" t="n">
        <v>16.14269911</v>
      </c>
      <c r="I2" s="20" t="n">
        <v>131.03</v>
      </c>
      <c r="J2" s="20" t="n">
        <v>2115.18</v>
      </c>
      <c r="K2" s="22" t="n">
        <v>3.53</v>
      </c>
      <c r="L2" s="22" t="n">
        <v>-0.62</v>
      </c>
      <c r="M2" s="22" t="n">
        <v>1.76</v>
      </c>
      <c r="N2" s="22" t="n">
        <v>2.32</v>
      </c>
      <c r="O2" s="22" t="n">
        <v>2.53</v>
      </c>
      <c r="P2" s="22" t="n">
        <v>1</v>
      </c>
      <c r="Q2" s="22" t="n"/>
      <c r="R2" s="22" t="n"/>
      <c r="S2" s="22" t="n"/>
      <c r="T2" s="7" t="n"/>
    </row>
    <row r="3">
      <c r="A3" s="3" t="inlineStr">
        <is>
          <t>BSX</t>
        </is>
      </c>
      <c r="B3" t="inlineStr">
        <is>
          <t>Boston Scientific</t>
        </is>
      </c>
      <c r="C3" s="3" t="inlineStr">
        <is>
          <t>Healthcare</t>
        </is>
      </c>
      <c r="D3" s="3" t="inlineStr">
        <is>
          <t>United States</t>
        </is>
      </c>
      <c r="E3" s="3" t="inlineStr">
        <is>
          <t>Trading212</t>
        </is>
      </c>
      <c r="F3" s="19" t="n">
        <v>46261</v>
      </c>
      <c r="G3" s="20" t="n">
        <v>40.46</v>
      </c>
      <c r="H3" s="21" t="n">
        <v>47</v>
      </c>
      <c r="I3" s="20" t="n">
        <v>38.58</v>
      </c>
      <c r="J3" s="20" t="n">
        <v>1813.47</v>
      </c>
      <c r="K3" s="22" t="n">
        <v>-4.63</v>
      </c>
      <c r="L3" s="22" t="n">
        <v>-5.89</v>
      </c>
      <c r="M3" s="22" t="n">
        <v>-4.63</v>
      </c>
      <c r="N3" s="22" t="n">
        <v>1.99</v>
      </c>
      <c r="O3" s="22" t="n">
        <v>1.59</v>
      </c>
      <c r="P3" s="22" t="n">
        <v>-6.22</v>
      </c>
      <c r="Q3" s="22" t="n">
        <v>5.35</v>
      </c>
      <c r="R3" s="22" t="n">
        <v>43.93</v>
      </c>
      <c r="S3" s="22" t="n">
        <v>9.550000000000001</v>
      </c>
      <c r="T3" s="7" t="n">
        <v>55.55</v>
      </c>
    </row>
    <row r="4">
      <c r="A4" s="3" t="inlineStr">
        <is>
          <t>GMED</t>
        </is>
      </c>
      <c r="B4" t="inlineStr">
        <is>
          <t>Globus Medical</t>
        </is>
      </c>
      <c r="C4" s="3" t="inlineStr">
        <is>
          <t>Healthcare</t>
        </is>
      </c>
      <c r="D4" s="3" t="inlineStr">
        <is>
          <t>United States</t>
        </is>
      </c>
      <c r="E4" s="3" t="inlineStr">
        <is>
          <t>Trading212</t>
        </is>
      </c>
      <c r="F4" s="19" t="n">
        <v>45629</v>
      </c>
      <c r="G4" s="20" t="n">
        <v>78.91</v>
      </c>
      <c r="H4" s="21" t="n">
        <v>4.808569</v>
      </c>
      <c r="I4" s="20" t="n">
        <v>64.40000000000001</v>
      </c>
      <c r="J4" s="20" t="n">
        <v>309.66</v>
      </c>
      <c r="K4" s="22" t="n">
        <v>-18.39</v>
      </c>
      <c r="L4" s="22" t="n">
        <v>-9.720000000000001</v>
      </c>
      <c r="M4" s="22" t="n">
        <v>-0.88</v>
      </c>
      <c r="N4" s="22" t="n">
        <v>0.34</v>
      </c>
      <c r="O4" s="22" t="n">
        <v>18.97</v>
      </c>
      <c r="P4" s="22" t="n">
        <v>-37.36</v>
      </c>
      <c r="Q4" s="22" t="n">
        <v>5.79</v>
      </c>
      <c r="R4" s="22" t="n">
        <v>42.89</v>
      </c>
      <c r="S4" s="22" t="n">
        <v>10.44</v>
      </c>
      <c r="T4" s="7" t="n">
        <v>66.67</v>
      </c>
    </row>
    <row r="5">
      <c r="A5" s="3" t="inlineStr">
        <is>
          <t>EGLN.L</t>
        </is>
      </c>
      <c r="B5" t="inlineStr">
        <is>
          <t>iShares Physical Gold</t>
        </is>
      </c>
      <c r="C5" s="3" t="n"/>
      <c r="D5" s="3" t="n"/>
      <c r="E5" s="3" t="inlineStr">
        <is>
          <t>Trading212</t>
        </is>
      </c>
      <c r="F5" s="19" t="n">
        <v>45621</v>
      </c>
      <c r="G5" s="20" t="n">
        <v>81.17</v>
      </c>
      <c r="H5" s="21" t="n">
        <v>17.014908</v>
      </c>
      <c r="I5" s="20" t="n">
        <v>72.89</v>
      </c>
      <c r="J5" s="20" t="n">
        <v>1240.22</v>
      </c>
      <c r="K5" s="22" t="n">
        <v>-10.2</v>
      </c>
      <c r="L5" s="22" t="n">
        <v>-5.29</v>
      </c>
      <c r="M5" s="22" t="n">
        <v>-0.46</v>
      </c>
      <c r="N5" s="22" t="n">
        <v>1.36</v>
      </c>
      <c r="O5" s="22" t="n">
        <v>19.8</v>
      </c>
      <c r="P5" s="22" t="n">
        <v>-30</v>
      </c>
      <c r="Q5" s="22" t="n"/>
      <c r="R5" s="22" t="n"/>
      <c r="S5" s="22" t="n"/>
      <c r="T5" s="7" t="n"/>
    </row>
    <row r="6">
      <c r="A6" s="3" t="inlineStr">
        <is>
          <t>SXR8.DE</t>
        </is>
      </c>
      <c r="B6" t="inlineStr">
        <is>
          <t>iShares Core S&amp;P 500 (Acc)</t>
        </is>
      </c>
      <c r="C6" s="3" t="n"/>
      <c r="D6" s="3" t="n"/>
      <c r="E6" s="3" t="inlineStr">
        <is>
          <t>Trading212</t>
        </is>
      </c>
      <c r="F6" s="19" t="n">
        <v>45621</v>
      </c>
      <c r="G6" s="20" t="n">
        <v>596.48</v>
      </c>
      <c r="H6" s="21" t="n">
        <v>0.828825</v>
      </c>
      <c r="I6" s="20" t="n">
        <v>730.4400000000001</v>
      </c>
      <c r="J6" s="20" t="n">
        <v>605.41</v>
      </c>
      <c r="K6" s="22" t="n">
        <v>22.46</v>
      </c>
      <c r="L6" s="22" t="n">
        <v>1.89</v>
      </c>
      <c r="M6" s="22" t="n">
        <v>1.02</v>
      </c>
      <c r="N6" s="22" t="n">
        <v>0.66</v>
      </c>
      <c r="O6" s="22" t="n">
        <v>19.8</v>
      </c>
      <c r="P6" s="22" t="n">
        <v>2.66</v>
      </c>
      <c r="Q6" s="22" t="n"/>
      <c r="R6" s="22" t="n"/>
      <c r="S6" s="22" t="n"/>
      <c r="T6" s="7" t="n"/>
    </row>
    <row r="7">
      <c r="A7" s="3" t="inlineStr">
        <is>
          <t>ADBE</t>
        </is>
      </c>
      <c r="B7" t="inlineStr">
        <is>
          <t>Adobe</t>
        </is>
      </c>
      <c r="C7" s="3" t="inlineStr">
        <is>
          <t>Technology</t>
        </is>
      </c>
      <c r="D7" s="3" t="inlineStr">
        <is>
          <t>United States</t>
        </is>
      </c>
      <c r="E7" s="3" t="inlineStr">
        <is>
          <t>Trading212</t>
        </is>
      </c>
      <c r="F7" s="19" t="n">
        <v>46170</v>
      </c>
      <c r="G7" s="20" t="n">
        <v>206.93</v>
      </c>
      <c r="H7" s="21" t="n">
        <v>5.95313343</v>
      </c>
      <c r="I7" s="20" t="n">
        <v>206.87</v>
      </c>
      <c r="J7" s="20" t="n">
        <v>1231.52</v>
      </c>
      <c r="K7" s="22" t="n">
        <v>-0.03</v>
      </c>
      <c r="L7" s="22" t="n">
        <v>-18.56</v>
      </c>
      <c r="M7" s="22" t="n">
        <v>-0.01</v>
      </c>
      <c r="N7" s="22" t="n">
        <v>1.35</v>
      </c>
      <c r="O7" s="22" t="n">
        <v>3.72</v>
      </c>
      <c r="P7" s="22" t="n">
        <v>-3.75</v>
      </c>
      <c r="Q7" s="22" t="n">
        <v>10.53</v>
      </c>
      <c r="R7" s="22" t="n">
        <v>25.14</v>
      </c>
      <c r="S7" s="22" t="n">
        <v>39.85</v>
      </c>
      <c r="T7" s="7" t="n">
        <v>82.59</v>
      </c>
    </row>
    <row r="8">
      <c r="A8" s="3" t="inlineStr">
        <is>
          <t>GASS</t>
        </is>
      </c>
      <c r="B8" t="inlineStr">
        <is>
          <t>StealthGas</t>
        </is>
      </c>
      <c r="C8" s="3" t="inlineStr">
        <is>
          <t>Industrials</t>
        </is>
      </c>
      <c r="D8" s="3" t="inlineStr">
        <is>
          <t>Greece</t>
        </is>
      </c>
      <c r="E8" s="3" t="inlineStr">
        <is>
          <t>Trading212</t>
        </is>
      </c>
      <c r="F8" s="19" t="n">
        <v>45621</v>
      </c>
      <c r="G8" s="20" t="n">
        <v>5.61</v>
      </c>
      <c r="H8" s="21" t="n">
        <v>40.45804</v>
      </c>
      <c r="I8" s="20" t="n">
        <v>7.8</v>
      </c>
      <c r="J8" s="20" t="n">
        <v>315.69</v>
      </c>
      <c r="K8" s="22" t="n">
        <v>39.06</v>
      </c>
      <c r="L8" s="22" t="n">
        <v>-6.22</v>
      </c>
      <c r="M8" s="22" t="n">
        <v>1.78</v>
      </c>
      <c r="N8" s="22" t="n">
        <v>0.35</v>
      </c>
      <c r="O8" s="22" t="n">
        <v>19.8</v>
      </c>
      <c r="P8" s="22" t="n">
        <v>19.26</v>
      </c>
      <c r="Q8" s="22" t="n">
        <v>25.34</v>
      </c>
      <c r="R8" s="22" t="n"/>
      <c r="S8" s="22" t="n">
        <v>7.98</v>
      </c>
      <c r="T8" s="7" t="n">
        <v>57.69</v>
      </c>
    </row>
    <row r="9">
      <c r="A9" s="3" t="inlineStr">
        <is>
          <t>IUIS.L</t>
        </is>
      </c>
      <c r="B9" t="inlineStr">
        <is>
          <t>iShares S&amp;P 500 Industrials Sector (Acc)</t>
        </is>
      </c>
      <c r="C9" s="3" t="n"/>
      <c r="D9" s="3" t="n"/>
      <c r="E9" s="3" t="inlineStr">
        <is>
          <t>Trading212</t>
        </is>
      </c>
      <c r="F9" s="19" t="n">
        <v>45623</v>
      </c>
      <c r="G9" s="20" t="n">
        <v>11.36</v>
      </c>
      <c r="H9" s="21" t="n">
        <v>11.498102</v>
      </c>
      <c r="I9" s="20" t="n">
        <v>12.63</v>
      </c>
      <c r="J9" s="20" t="n">
        <v>145.22</v>
      </c>
      <c r="K9" s="22" t="n">
        <v>11.14</v>
      </c>
      <c r="L9" s="22" t="n">
        <v>-5.9</v>
      </c>
      <c r="M9" s="22" t="n">
        <v>0.53</v>
      </c>
      <c r="N9" s="22" t="n">
        <v>0.16</v>
      </c>
      <c r="O9" s="22" t="n">
        <v>19.74</v>
      </c>
      <c r="P9" s="22" t="n">
        <v>-8.6</v>
      </c>
      <c r="Q9" s="22" t="n"/>
      <c r="R9" s="22" t="n"/>
      <c r="S9" s="22" t="n"/>
      <c r="T9" s="7" t="n"/>
    </row>
    <row r="10">
      <c r="A10" s="3" t="inlineStr">
        <is>
          <t>DECK</t>
        </is>
      </c>
      <c r="B10" t="inlineStr">
        <is>
          <t>Deckers Outdoor</t>
        </is>
      </c>
      <c r="C10" s="3" t="inlineStr">
        <is>
          <t>Consumer Cyclical</t>
        </is>
      </c>
      <c r="D10" s="3" t="inlineStr">
        <is>
          <t>United States</t>
        </is>
      </c>
      <c r="E10" s="3" t="inlineStr">
        <is>
          <t>Trading212</t>
        </is>
      </c>
      <c r="F10" s="19" t="n">
        <v>46260</v>
      </c>
      <c r="G10" s="20" t="n">
        <v>76.27</v>
      </c>
      <c r="H10" s="21" t="n">
        <v>23</v>
      </c>
      <c r="I10" s="20" t="n">
        <v>69.23999999999999</v>
      </c>
      <c r="J10" s="20" t="n">
        <v>1592.59</v>
      </c>
      <c r="K10" s="22" t="n">
        <v>-9.220000000000001</v>
      </c>
      <c r="L10" s="22" t="n">
        <v>-8.869999999999999</v>
      </c>
      <c r="M10" s="22" t="n">
        <v>-9.220000000000001</v>
      </c>
      <c r="N10" s="22" t="n">
        <v>1.75</v>
      </c>
      <c r="O10" s="22" t="n">
        <v>2.45</v>
      </c>
      <c r="P10" s="22" t="n">
        <v>-11.67</v>
      </c>
      <c r="Q10" s="22" t="n">
        <v>10.24</v>
      </c>
      <c r="R10" s="22" t="n">
        <v>14.5</v>
      </c>
      <c r="S10" s="22" t="n">
        <v>39.01</v>
      </c>
      <c r="T10" s="7" t="n">
        <v>93.33</v>
      </c>
    </row>
    <row r="11">
      <c r="A11" s="3" t="inlineStr">
        <is>
          <t>IMMR</t>
        </is>
      </c>
      <c r="B11" t="inlineStr">
        <is>
          <t>Immersion</t>
        </is>
      </c>
      <c r="C11" s="3" t="inlineStr">
        <is>
          <t>Technology</t>
        </is>
      </c>
      <c r="D11" s="3" t="inlineStr">
        <is>
          <t>United States</t>
        </is>
      </c>
      <c r="E11" s="3" t="inlineStr">
        <is>
          <t>Trading212</t>
        </is>
      </c>
      <c r="F11" s="19" t="n">
        <v>45922</v>
      </c>
      <c r="G11" s="20" t="n">
        <v>6.26</v>
      </c>
      <c r="H11" s="21" t="n">
        <v>150</v>
      </c>
      <c r="I11" s="20" t="n">
        <v>6.39</v>
      </c>
      <c r="J11" s="20" t="n">
        <v>958.47</v>
      </c>
      <c r="K11" s="22" t="n">
        <v>2.02</v>
      </c>
      <c r="L11" s="22" t="n">
        <v>-6.55</v>
      </c>
      <c r="M11" s="22" t="n">
        <v>0.17</v>
      </c>
      <c r="N11" s="22" t="n">
        <v>1.05</v>
      </c>
      <c r="O11" s="22" t="n">
        <v>19.42</v>
      </c>
      <c r="P11" s="22" t="n">
        <v>-17.4</v>
      </c>
      <c r="Q11" s="22" t="n">
        <v>17.73</v>
      </c>
      <c r="R11" s="22" t="n"/>
      <c r="S11" s="22" t="n">
        <v>2.71</v>
      </c>
      <c r="T11" s="7" t="n">
        <v>50</v>
      </c>
    </row>
    <row r="12">
      <c r="A12" s="3" t="inlineStr">
        <is>
          <t>RKLB</t>
        </is>
      </c>
      <c r="B12" t="inlineStr">
        <is>
          <t>Rocket Lab</t>
        </is>
      </c>
      <c r="C12" s="3" t="inlineStr">
        <is>
          <t>Industrials</t>
        </is>
      </c>
      <c r="D12" s="3" t="inlineStr">
        <is>
          <t>United States</t>
        </is>
      </c>
      <c r="E12" s="3" t="inlineStr">
        <is>
          <t>Trading212</t>
        </is>
      </c>
      <c r="F12" s="19" t="n">
        <v>46262</v>
      </c>
      <c r="G12" s="20" t="n">
        <v>56.32</v>
      </c>
      <c r="H12" s="21" t="n">
        <v>26</v>
      </c>
      <c r="I12" s="20" t="n">
        <v>64.81</v>
      </c>
      <c r="J12" s="20" t="n">
        <v>1685.08</v>
      </c>
      <c r="K12" s="22" t="n">
        <v>15.08</v>
      </c>
      <c r="L12" s="22" t="n">
        <v>9.51</v>
      </c>
      <c r="M12" s="22" t="n">
        <v>15.08</v>
      </c>
      <c r="N12" s="22" t="n">
        <v>1.85</v>
      </c>
      <c r="O12" s="22" t="n">
        <v>1.07</v>
      </c>
      <c r="P12" s="22" t="n">
        <v>14.01</v>
      </c>
      <c r="Q12" s="22" t="n">
        <v>-0.68</v>
      </c>
      <c r="R12" s="22" t="n"/>
      <c r="S12" s="22" t="n">
        <v>-12.2</v>
      </c>
      <c r="T12" s="7" t="n">
        <v>15.38</v>
      </c>
    </row>
    <row r="13">
      <c r="A13" s="3" t="inlineStr">
        <is>
          <t>CRDO</t>
        </is>
      </c>
      <c r="B13" t="inlineStr">
        <is>
          <t>Credo Technology</t>
        </is>
      </c>
      <c r="C13" s="3" t="inlineStr">
        <is>
          <t>Technology</t>
        </is>
      </c>
      <c r="D13" s="3" t="inlineStr">
        <is>
          <t>Cayman Islands</t>
        </is>
      </c>
      <c r="E13" s="3" t="inlineStr">
        <is>
          <t>Trading212</t>
        </is>
      </c>
      <c r="F13" s="19" t="n">
        <v>46267</v>
      </c>
      <c r="G13" s="20" t="n">
        <v>145.79</v>
      </c>
      <c r="H13" s="21" t="n">
        <v>10</v>
      </c>
      <c r="I13" s="20" t="n">
        <v>184.4</v>
      </c>
      <c r="J13" s="20" t="n">
        <v>1843.99</v>
      </c>
      <c r="K13" s="22" t="n">
        <v>26.48</v>
      </c>
      <c r="L13" s="22" t="n">
        <v>-12.18</v>
      </c>
      <c r="M13" s="22" t="n">
        <v>26.48</v>
      </c>
      <c r="N13" s="22" t="n">
        <v>2.02</v>
      </c>
      <c r="O13" s="22" t="n">
        <v>1.65</v>
      </c>
      <c r="P13" s="22" t="n">
        <v>24.83</v>
      </c>
      <c r="Q13" s="22" t="n">
        <v>1.03</v>
      </c>
      <c r="R13" s="22" t="n">
        <v>1302.37</v>
      </c>
      <c r="S13" s="22" t="n">
        <v>21.42</v>
      </c>
      <c r="T13" s="7" t="n">
        <v>53.33</v>
      </c>
    </row>
    <row r="14">
      <c r="A14" s="3" t="inlineStr">
        <is>
          <t>OPHC</t>
        </is>
      </c>
      <c r="B14" t="inlineStr">
        <is>
          <t>OptimumBank</t>
        </is>
      </c>
      <c r="C14" s="3" t="inlineStr">
        <is>
          <t>Financial Services</t>
        </is>
      </c>
      <c r="D14" s="3" t="inlineStr">
        <is>
          <t>United States</t>
        </is>
      </c>
      <c r="E14" s="3" t="inlineStr">
        <is>
          <t>Trading212</t>
        </is>
      </c>
      <c r="F14" s="19" t="n">
        <v>45922</v>
      </c>
      <c r="G14" s="20" t="n">
        <v>3.58</v>
      </c>
      <c r="H14" s="21" t="n">
        <v>145</v>
      </c>
      <c r="I14" s="20" t="n">
        <v>7.77</v>
      </c>
      <c r="J14" s="20" t="n">
        <v>1126.33</v>
      </c>
      <c r="K14" s="22" t="n">
        <v>116.89</v>
      </c>
      <c r="L14" s="22" t="n">
        <v>1.26</v>
      </c>
      <c r="M14" s="22" t="n">
        <v>9.74</v>
      </c>
      <c r="N14" s="22" t="n">
        <v>1.24</v>
      </c>
      <c r="O14" s="22" t="n">
        <v>19.42</v>
      </c>
      <c r="P14" s="22" t="n">
        <v>97.47</v>
      </c>
      <c r="Q14" s="22" t="n">
        <v>15.16</v>
      </c>
      <c r="R14" s="22" t="n">
        <v>15.93</v>
      </c>
      <c r="S14" s="22" t="n"/>
      <c r="T14" s="7" t="n"/>
    </row>
    <row r="15">
      <c r="A15" s="3" t="inlineStr">
        <is>
          <t>EPAM</t>
        </is>
      </c>
      <c r="B15" t="inlineStr">
        <is>
          <t>EPAM Systems</t>
        </is>
      </c>
      <c r="C15" s="3" t="inlineStr">
        <is>
          <t>Technology</t>
        </is>
      </c>
      <c r="D15" s="3" t="inlineStr">
        <is>
          <t>United States</t>
        </is>
      </c>
      <c r="E15" s="3" t="inlineStr">
        <is>
          <t>Trading212</t>
        </is>
      </c>
      <c r="F15" s="19" t="n">
        <v>46140</v>
      </c>
      <c r="G15" s="20" t="n">
        <v>91.79000000000001</v>
      </c>
      <c r="H15" s="21" t="n">
        <v>22.46</v>
      </c>
      <c r="I15" s="20" t="n">
        <v>95</v>
      </c>
      <c r="J15" s="20" t="n">
        <v>2133.59</v>
      </c>
      <c r="K15" s="22" t="n">
        <v>3.49</v>
      </c>
      <c r="L15" s="22" t="n">
        <v>-4.03</v>
      </c>
      <c r="M15" s="22" t="n">
        <v>0.87</v>
      </c>
      <c r="N15" s="22" t="n">
        <v>2.34</v>
      </c>
      <c r="O15" s="22" t="n">
        <v>11.16</v>
      </c>
      <c r="P15" s="22" t="n">
        <v>-7.67</v>
      </c>
      <c r="Q15" s="22" t="n">
        <v>10.97</v>
      </c>
      <c r="R15" s="22" t="n">
        <v>16.26</v>
      </c>
      <c r="S15" s="22" t="n">
        <v>10.49</v>
      </c>
      <c r="T15" s="7" t="n">
        <v>54.81</v>
      </c>
    </row>
    <row r="16">
      <c r="A16" s="3" t="inlineStr">
        <is>
          <t>NNE</t>
        </is>
      </c>
      <c r="B16" t="inlineStr">
        <is>
          <t>NANO Nuclear Energy</t>
        </is>
      </c>
      <c r="C16" s="3" t="inlineStr">
        <is>
          <t>Industrials</t>
        </is>
      </c>
      <c r="D16" s="3" t="inlineStr">
        <is>
          <t>United States</t>
        </is>
      </c>
      <c r="E16" s="3" t="inlineStr">
        <is>
          <t>Trading212</t>
        </is>
      </c>
      <c r="F16" s="19" t="n">
        <v>45621</v>
      </c>
      <c r="G16" s="20" t="n">
        <v>23.74</v>
      </c>
      <c r="H16" s="21" t="n">
        <v>204.17081927</v>
      </c>
      <c r="I16" s="20" t="n">
        <v>14.94</v>
      </c>
      <c r="J16" s="20" t="n">
        <v>3050.05</v>
      </c>
      <c r="K16" s="22" t="n">
        <v>-37.07</v>
      </c>
      <c r="L16" s="22" t="n">
        <v>-11.69</v>
      </c>
      <c r="M16" s="22" t="n">
        <v>-1.69</v>
      </c>
      <c r="N16" s="22" t="n">
        <v>3.35</v>
      </c>
      <c r="O16" s="22" t="n">
        <v>19.8</v>
      </c>
      <c r="P16" s="22" t="n">
        <v>-56.87</v>
      </c>
      <c r="Q16" s="22" t="n">
        <v>-4.07</v>
      </c>
      <c r="R16" s="22" t="n"/>
      <c r="S16" s="22" t="n">
        <v>-20.22</v>
      </c>
      <c r="T16" s="7" t="n">
        <v>3.85</v>
      </c>
    </row>
    <row r="17">
      <c r="A17" s="3" t="inlineStr">
        <is>
          <t>CELH</t>
        </is>
      </c>
      <c r="B17" t="inlineStr">
        <is>
          <t>Celsius</t>
        </is>
      </c>
      <c r="C17" s="3" t="inlineStr">
        <is>
          <t>Consumer Defensive</t>
        </is>
      </c>
      <c r="D17" s="3" t="inlineStr">
        <is>
          <t>United States</t>
        </is>
      </c>
      <c r="E17" s="3" t="inlineStr">
        <is>
          <t>Trading212</t>
        </is>
      </c>
      <c r="F17" s="19" t="n">
        <v>45629</v>
      </c>
      <c r="G17" s="20" t="n">
        <v>27.11</v>
      </c>
      <c r="H17" s="21" t="n">
        <v>13.996531</v>
      </c>
      <c r="I17" s="20" t="n">
        <v>24.57</v>
      </c>
      <c r="J17" s="20" t="n">
        <v>343.86</v>
      </c>
      <c r="K17" s="22" t="n">
        <v>-9.369999999999999</v>
      </c>
      <c r="L17" s="22" t="n">
        <v>-15.16</v>
      </c>
      <c r="M17" s="22" t="n">
        <v>-0.45</v>
      </c>
      <c r="N17" s="22" t="n">
        <v>0.38</v>
      </c>
      <c r="O17" s="22" t="n">
        <v>18.97</v>
      </c>
      <c r="P17" s="22" t="n">
        <v>-28.34</v>
      </c>
      <c r="Q17" s="22" t="n">
        <v>4.57</v>
      </c>
      <c r="R17" s="22" t="n">
        <v>35.02</v>
      </c>
      <c r="S17" s="22" t="n">
        <v>21.86</v>
      </c>
      <c r="T17" s="7" t="n">
        <v>58.33</v>
      </c>
    </row>
    <row r="18">
      <c r="A18" s="3" t="inlineStr">
        <is>
          <t>PTC</t>
        </is>
      </c>
      <c r="B18" t="inlineStr">
        <is>
          <t>PTC</t>
        </is>
      </c>
      <c r="C18" s="3" t="inlineStr">
        <is>
          <t>Technology</t>
        </is>
      </c>
      <c r="D18" s="3" t="inlineStr">
        <is>
          <t>United States</t>
        </is>
      </c>
      <c r="E18" s="3" t="inlineStr">
        <is>
          <t>Trading212</t>
        </is>
      </c>
      <c r="F18" s="19" t="n">
        <v>46273</v>
      </c>
      <c r="G18" s="20" t="n">
        <v>120.26</v>
      </c>
      <c r="H18" s="21" t="n">
        <v>3.3</v>
      </c>
      <c r="I18" s="20" t="n">
        <v>121.56</v>
      </c>
      <c r="J18" s="20" t="n">
        <v>401.16</v>
      </c>
      <c r="K18" s="22" t="n">
        <v>1.08</v>
      </c>
      <c r="L18" s="22" t="n">
        <v>-13.1</v>
      </c>
      <c r="M18" s="22" t="n">
        <v>1.08</v>
      </c>
      <c r="N18" s="22" t="n">
        <v>0.44</v>
      </c>
      <c r="O18" s="22" t="n">
        <v>1.7</v>
      </c>
      <c r="P18" s="22" t="n">
        <v>-0.62</v>
      </c>
      <c r="Q18" s="22" t="n">
        <v>5.72</v>
      </c>
      <c r="R18" s="22" t="n">
        <v>16.46</v>
      </c>
      <c r="S18" s="22" t="n">
        <v>15.85</v>
      </c>
      <c r="T18" s="7" t="n">
        <v>48.52</v>
      </c>
    </row>
    <row r="19">
      <c r="A19" s="3" t="inlineStr">
        <is>
          <t>CCS</t>
        </is>
      </c>
      <c r="B19" t="inlineStr">
        <is>
          <t>Century Communities</t>
        </is>
      </c>
      <c r="C19" s="3" t="inlineStr">
        <is>
          <t>Real Estate</t>
        </is>
      </c>
      <c r="D19" s="3" t="inlineStr">
        <is>
          <t>United States</t>
        </is>
      </c>
      <c r="E19" s="3" t="inlineStr">
        <is>
          <t>Trading212</t>
        </is>
      </c>
      <c r="F19" s="19" t="n">
        <v>45775</v>
      </c>
      <c r="G19" s="20" t="n">
        <v>49.93</v>
      </c>
      <c r="H19" s="21" t="n">
        <v>18</v>
      </c>
      <c r="I19" s="20" t="n">
        <v>55</v>
      </c>
      <c r="J19" s="20" t="n">
        <v>989.96</v>
      </c>
      <c r="K19" s="22" t="n">
        <v>10.16</v>
      </c>
      <c r="L19" s="22" t="n">
        <v>-8.380000000000001</v>
      </c>
      <c r="M19" s="22" t="n">
        <v>0.64</v>
      </c>
      <c r="N19" s="22" t="n">
        <v>1.09</v>
      </c>
      <c r="O19" s="22" t="n">
        <v>40.82</v>
      </c>
      <c r="P19" s="22" t="n">
        <v>-30.66</v>
      </c>
      <c r="Q19" s="22" t="n">
        <v>6.98</v>
      </c>
      <c r="R19" s="22" t="n"/>
      <c r="S19" s="22" t="n">
        <v>3.97</v>
      </c>
      <c r="T19" s="7" t="n"/>
    </row>
    <row r="20">
      <c r="A20" s="3" t="inlineStr">
        <is>
          <t>CI</t>
        </is>
      </c>
      <c r="B20" t="inlineStr">
        <is>
          <t>Cigna Group</t>
        </is>
      </c>
      <c r="C20" s="3" t="inlineStr">
        <is>
          <t>Healthcare</t>
        </is>
      </c>
      <c r="D20" s="3" t="inlineStr">
        <is>
          <t>United States</t>
        </is>
      </c>
      <c r="E20" s="3" t="inlineStr">
        <is>
          <t>Trading212</t>
        </is>
      </c>
      <c r="F20" s="19" t="n">
        <v>46141</v>
      </c>
      <c r="G20" s="20" t="n">
        <v>237.04</v>
      </c>
      <c r="H20" s="21" t="n">
        <v>11.7</v>
      </c>
      <c r="I20" s="20" t="n">
        <v>239.09</v>
      </c>
      <c r="J20" s="20" t="n">
        <v>2797.35</v>
      </c>
      <c r="K20" s="22" t="n">
        <v>0.87</v>
      </c>
      <c r="L20" s="22" t="n">
        <v>-2.04</v>
      </c>
      <c r="M20" s="22" t="n">
        <v>0.22</v>
      </c>
      <c r="N20" s="22" t="n">
        <v>3.07</v>
      </c>
      <c r="O20" s="22" t="n">
        <v>10.93</v>
      </c>
      <c r="P20" s="22" t="n">
        <v>-10.06</v>
      </c>
      <c r="Q20" s="22" t="n">
        <v>11.67</v>
      </c>
      <c r="R20" s="22" t="n">
        <v>-6.34</v>
      </c>
      <c r="S20" s="22" t="n">
        <v>9</v>
      </c>
      <c r="T20" s="7" t="n">
        <v>33.33</v>
      </c>
    </row>
    <row r="21">
      <c r="A21" s="3" t="inlineStr">
        <is>
          <t>CVX</t>
        </is>
      </c>
      <c r="B21" t="inlineStr">
        <is>
          <t>Chevron</t>
        </is>
      </c>
      <c r="C21" s="3" t="inlineStr">
        <is>
          <t>Energy</t>
        </is>
      </c>
      <c r="D21" s="3" t="inlineStr">
        <is>
          <t>United States</t>
        </is>
      </c>
      <c r="E21" s="3" t="inlineStr">
        <is>
          <t>Trading212</t>
        </is>
      </c>
      <c r="F21" s="19" t="n">
        <v>45775</v>
      </c>
      <c r="G21" s="20" t="n">
        <v>134.3</v>
      </c>
      <c r="H21" s="21" t="n">
        <v>8.6406803</v>
      </c>
      <c r="I21" s="20" t="n">
        <v>179.3</v>
      </c>
      <c r="J21" s="20" t="n">
        <v>1549.27</v>
      </c>
      <c r="K21" s="22" t="n">
        <v>33.51</v>
      </c>
      <c r="L21" s="22" t="n">
        <v>2.34</v>
      </c>
      <c r="M21" s="22" t="n">
        <v>2.09</v>
      </c>
      <c r="N21" s="22" t="n">
        <v>1.7</v>
      </c>
      <c r="O21" s="22" t="n">
        <v>40.82</v>
      </c>
      <c r="P21" s="22" t="n">
        <v>-7.31</v>
      </c>
      <c r="Q21" s="22" t="n">
        <v>4.14</v>
      </c>
      <c r="R21" s="22" t="n">
        <v>10.29</v>
      </c>
      <c r="S21" s="22" t="n">
        <v>4.67</v>
      </c>
      <c r="T21" s="7" t="n">
        <v>25</v>
      </c>
    </row>
    <row r="22">
      <c r="A22" s="3" t="inlineStr">
        <is>
          <t>BAC</t>
        </is>
      </c>
      <c r="B22" t="inlineStr">
        <is>
          <t>Bank of America</t>
        </is>
      </c>
      <c r="C22" s="3" t="inlineStr">
        <is>
          <t>Financial Services</t>
        </is>
      </c>
      <c r="D22" s="3" t="inlineStr">
        <is>
          <t>United States</t>
        </is>
      </c>
      <c r="E22" s="3" t="inlineStr">
        <is>
          <t>Trading212</t>
        </is>
      </c>
      <c r="F22" s="19" t="n">
        <v>45775</v>
      </c>
      <c r="G22" s="20" t="n">
        <v>37.05</v>
      </c>
      <c r="H22" s="21" t="n">
        <v>17.45</v>
      </c>
      <c r="I22" s="20" t="n">
        <v>49.8</v>
      </c>
      <c r="J22" s="20" t="n">
        <v>869.04</v>
      </c>
      <c r="K22" s="22" t="n">
        <v>34.42</v>
      </c>
      <c r="L22" s="22" t="n">
        <v>-7.31</v>
      </c>
      <c r="M22" s="22" t="n">
        <v>2.15</v>
      </c>
      <c r="N22" s="22" t="n">
        <v>0.95</v>
      </c>
      <c r="O22" s="22" t="n">
        <v>40.82</v>
      </c>
      <c r="P22" s="22" t="n">
        <v>-6.4</v>
      </c>
      <c r="Q22" s="22" t="n">
        <v>3.18</v>
      </c>
      <c r="R22" s="22" t="n"/>
      <c r="S22" s="22" t="n"/>
      <c r="T22" s="7" t="n"/>
    </row>
    <row r="23">
      <c r="A23" s="3" t="inlineStr">
        <is>
          <t>PODD</t>
        </is>
      </c>
      <c r="B23" t="inlineStr">
        <is>
          <t>Insulet</t>
        </is>
      </c>
      <c r="C23" s="3" t="inlineStr">
        <is>
          <t>Healthcare</t>
        </is>
      </c>
      <c r="D23" s="3" t="inlineStr">
        <is>
          <t>United States</t>
        </is>
      </c>
      <c r="E23" s="3" t="inlineStr">
        <is>
          <t>Trading212</t>
        </is>
      </c>
      <c r="F23" s="19" t="n">
        <v>46254</v>
      </c>
      <c r="G23" s="20" t="n">
        <v>125.22</v>
      </c>
      <c r="H23" s="21" t="n">
        <v>12.9</v>
      </c>
      <c r="I23" s="20" t="n">
        <v>119.58</v>
      </c>
      <c r="J23" s="20" t="n">
        <v>1542.58</v>
      </c>
      <c r="K23" s="22" t="n">
        <v>-4.51</v>
      </c>
      <c r="L23" s="22" t="n">
        <v>-5.08</v>
      </c>
      <c r="M23" s="22" t="n">
        <v>-4.51</v>
      </c>
      <c r="N23" s="22" t="n">
        <v>1.69</v>
      </c>
      <c r="O23" s="22" t="n">
        <v>2.31</v>
      </c>
      <c r="P23" s="22" t="n">
        <v>-6.82</v>
      </c>
      <c r="Q23" s="22" t="n">
        <v>3.71</v>
      </c>
      <c r="R23" s="22" t="n">
        <v>18.13</v>
      </c>
      <c r="S23" s="22" t="n">
        <v>13.99</v>
      </c>
      <c r="T23" s="7" t="n">
        <v>44.44</v>
      </c>
    </row>
    <row r="24">
      <c r="A24" s="3" t="inlineStr">
        <is>
          <t>LVS</t>
        </is>
      </c>
      <c r="B24" t="inlineStr">
        <is>
          <t>Las Vegas Sands</t>
        </is>
      </c>
      <c r="C24" s="3" t="inlineStr">
        <is>
          <t>Consumer Cyclical</t>
        </is>
      </c>
      <c r="D24" s="3" t="inlineStr">
        <is>
          <t>United States</t>
        </is>
      </c>
      <c r="E24" s="3" t="inlineStr">
        <is>
          <t>Trading212</t>
        </is>
      </c>
      <c r="F24" s="19" t="n">
        <v>46261</v>
      </c>
      <c r="G24" s="20" t="n">
        <v>38.87</v>
      </c>
      <c r="H24" s="21" t="n">
        <v>45</v>
      </c>
      <c r="I24" s="20" t="n">
        <v>34.3</v>
      </c>
      <c r="J24" s="20" t="n">
        <v>1543.55</v>
      </c>
      <c r="K24" s="22" t="n">
        <v>-11.76</v>
      </c>
      <c r="L24" s="22" t="n">
        <v>-11.87</v>
      </c>
      <c r="M24" s="22" t="n">
        <v>-11.76</v>
      </c>
      <c r="N24" s="22" t="n">
        <v>1.69</v>
      </c>
      <c r="O24" s="22" t="n">
        <v>1.59</v>
      </c>
      <c r="P24" s="22" t="n">
        <v>-13.35</v>
      </c>
      <c r="Q24" s="22" t="n">
        <v>7.05</v>
      </c>
      <c r="R24" s="22" t="n">
        <v>9.609999999999999</v>
      </c>
      <c r="S24" s="22" t="n">
        <v>14.99</v>
      </c>
      <c r="T24" s="7" t="n">
        <v>52.22</v>
      </c>
    </row>
    <row r="25">
      <c r="A25" s="3" t="inlineStr">
        <is>
          <t>CAAP</t>
        </is>
      </c>
      <c r="B25" t="inlineStr">
        <is>
          <t>Corp America Airports</t>
        </is>
      </c>
      <c r="C25" s="3" t="inlineStr">
        <is>
          <t>Industrials</t>
        </is>
      </c>
      <c r="D25" s="3" t="inlineStr">
        <is>
          <t>Luxembourg</t>
        </is>
      </c>
      <c r="E25" s="3" t="inlineStr">
        <is>
          <t>Trading212</t>
        </is>
      </c>
      <c r="F25" s="19" t="n">
        <v>45621</v>
      </c>
      <c r="G25" s="20" t="n">
        <v>17.92</v>
      </c>
      <c r="H25" s="21" t="n">
        <v>28.702979</v>
      </c>
      <c r="I25" s="20" t="n">
        <v>20.96</v>
      </c>
      <c r="J25" s="20" t="n">
        <v>601.61</v>
      </c>
      <c r="K25" s="22" t="n">
        <v>16.99</v>
      </c>
      <c r="L25" s="22" t="n">
        <v>-1.24</v>
      </c>
      <c r="M25" s="22" t="n">
        <v>0.77</v>
      </c>
      <c r="N25" s="22" t="n">
        <v>0.66</v>
      </c>
      <c r="O25" s="22" t="n">
        <v>19.8</v>
      </c>
      <c r="P25" s="22" t="n">
        <v>-2.81</v>
      </c>
      <c r="Q25" s="22" t="n">
        <v>11.45</v>
      </c>
      <c r="R25" s="22" t="n">
        <v>14.01</v>
      </c>
      <c r="S25" s="22" t="n">
        <v>14.3</v>
      </c>
      <c r="T25" s="7" t="n">
        <v>72.12</v>
      </c>
    </row>
    <row r="26">
      <c r="A26" s="3" t="inlineStr">
        <is>
          <t>ALB</t>
        </is>
      </c>
      <c r="B26" t="inlineStr">
        <is>
          <t>Albemarle</t>
        </is>
      </c>
      <c r="C26" s="3" t="inlineStr">
        <is>
          <t>Basic Materials</t>
        </is>
      </c>
      <c r="D26" s="3" t="inlineStr">
        <is>
          <t>United States</t>
        </is>
      </c>
      <c r="E26" s="3" t="inlineStr">
        <is>
          <t>Trading212</t>
        </is>
      </c>
      <c r="F26" s="19" t="n">
        <v>46273</v>
      </c>
      <c r="G26" s="20" t="n">
        <v>108.3</v>
      </c>
      <c r="H26" s="21" t="n">
        <v>10.5</v>
      </c>
      <c r="I26" s="20" t="n">
        <v>97.11</v>
      </c>
      <c r="J26" s="20" t="n">
        <v>1019.66</v>
      </c>
      <c r="K26" s="22" t="n">
        <v>-10.33</v>
      </c>
      <c r="L26" s="22" t="n">
        <v>-19.18</v>
      </c>
      <c r="M26" s="22" t="n">
        <v>-10.33</v>
      </c>
      <c r="N26" s="22" t="n">
        <v>1.12</v>
      </c>
      <c r="O26" s="22" t="n">
        <v>1.7</v>
      </c>
      <c r="P26" s="22" t="n">
        <v>-12.03</v>
      </c>
      <c r="Q26" s="22" t="n">
        <v>5.35</v>
      </c>
      <c r="R26" s="22" t="n"/>
      <c r="S26" s="22" t="n">
        <v>0.64</v>
      </c>
      <c r="T26" s="7" t="n"/>
    </row>
    <row r="27">
      <c r="A27" s="3" t="inlineStr">
        <is>
          <t>SXLI.L</t>
        </is>
      </c>
      <c r="B27" t="inlineStr">
        <is>
          <t>SPDR S&amp;P U.S. Industrials Select Sector (Acc)</t>
        </is>
      </c>
      <c r="C27" s="3" t="n"/>
      <c r="D27" s="3" t="n"/>
      <c r="E27" s="3" t="inlineStr">
        <is>
          <t>Trading212</t>
        </is>
      </c>
      <c r="F27" s="19" t="n">
        <v>45621</v>
      </c>
      <c r="G27" s="20" t="n">
        <v>58.55</v>
      </c>
      <c r="H27" s="21" t="n">
        <v>5.678723</v>
      </c>
      <c r="I27" s="20" t="n">
        <v>64.91</v>
      </c>
      <c r="J27" s="20" t="n">
        <v>368.59</v>
      </c>
      <c r="K27" s="22" t="n">
        <v>10.85</v>
      </c>
      <c r="L27" s="22" t="n">
        <v>-5.77</v>
      </c>
      <c r="M27" s="22" t="n">
        <v>0.49</v>
      </c>
      <c r="N27" s="22" t="n">
        <v>0.4</v>
      </c>
      <c r="O27" s="22" t="n">
        <v>19.8</v>
      </c>
      <c r="P27" s="22" t="n">
        <v>-8.949999999999999</v>
      </c>
      <c r="Q27" s="22" t="n"/>
      <c r="R27" s="22" t="n"/>
      <c r="S27" s="22" t="n"/>
      <c r="T27" s="7" t="n"/>
    </row>
    <row r="28">
      <c r="A28" s="3" t="inlineStr">
        <is>
          <t>SXRU.DE</t>
        </is>
      </c>
      <c r="B28" t="inlineStr">
        <is>
          <t>iShares Dow Jones Industrial Average (Acc)</t>
        </is>
      </c>
      <c r="C28" s="3" t="n"/>
      <c r="D28" s="3" t="n"/>
      <c r="E28" s="3" t="inlineStr">
        <is>
          <t>Trading212</t>
        </is>
      </c>
      <c r="F28" s="19" t="n">
        <v>45623</v>
      </c>
      <c r="G28" s="20" t="n">
        <v>490.01</v>
      </c>
      <c r="H28" s="21" t="n">
        <v>1.234883</v>
      </c>
      <c r="I28" s="20" t="n">
        <v>551</v>
      </c>
      <c r="J28" s="20" t="n">
        <v>680.42</v>
      </c>
      <c r="K28" s="22" t="n">
        <v>12.45</v>
      </c>
      <c r="L28" s="22" t="n">
        <v>-2.12</v>
      </c>
      <c r="M28" s="22" t="n">
        <v>0.59</v>
      </c>
      <c r="N28" s="22" t="n">
        <v>0.75</v>
      </c>
      <c r="O28" s="22" t="n">
        <v>19.74</v>
      </c>
      <c r="P28" s="22" t="n">
        <v>-7.29</v>
      </c>
      <c r="Q28" s="22" t="n"/>
      <c r="R28" s="22" t="n"/>
      <c r="S28" s="22" t="n"/>
      <c r="T28" s="7" t="n"/>
    </row>
    <row r="29">
      <c r="A29" s="3" t="inlineStr">
        <is>
          <t>RHM.DE</t>
        </is>
      </c>
      <c r="B29" t="inlineStr">
        <is>
          <t>Rheinmetall</t>
        </is>
      </c>
      <c r="C29" s="3" t="inlineStr">
        <is>
          <t>Industrials</t>
        </is>
      </c>
      <c r="D29" s="3" t="inlineStr">
        <is>
          <t>Germany</t>
        </is>
      </c>
      <c r="E29" s="3" t="inlineStr">
        <is>
          <t>Capital</t>
        </is>
      </c>
      <c r="F29" s="19" t="n">
        <v>46033</v>
      </c>
      <c r="G29" s="20" t="n">
        <v>977.3</v>
      </c>
      <c r="H29" s="21" t="n">
        <v>3.09</v>
      </c>
      <c r="I29" s="20" t="n">
        <v>977.8099999999999</v>
      </c>
      <c r="J29" s="20" t="n">
        <v>3021.42</v>
      </c>
      <c r="K29" s="22" t="n">
        <v>5.47</v>
      </c>
      <c r="L29" s="22" t="n">
        <v>-16.26</v>
      </c>
      <c r="M29" s="22" t="n">
        <v>0.68</v>
      </c>
      <c r="N29" s="22" t="n">
        <v>3.31</v>
      </c>
      <c r="O29" s="22" t="n">
        <v>12.9</v>
      </c>
      <c r="P29" s="22" t="n">
        <v>-7.43</v>
      </c>
      <c r="Q29" s="22" t="n">
        <v>3.09</v>
      </c>
      <c r="R29" s="22" t="n">
        <v>43.22</v>
      </c>
      <c r="S29" s="22" t="n">
        <v>21.27</v>
      </c>
      <c r="T29" s="7" t="n">
        <v>77.89</v>
      </c>
    </row>
    <row r="30">
      <c r="A30" s="3" t="inlineStr">
        <is>
          <t>TSLA</t>
        </is>
      </c>
      <c r="B30" t="inlineStr">
        <is>
          <t>Tesla Inc</t>
        </is>
      </c>
      <c r="C30" s="3" t="inlineStr">
        <is>
          <t>Consumer Cyclical</t>
        </is>
      </c>
      <c r="D30" s="3" t="inlineStr">
        <is>
          <t>United States</t>
        </is>
      </c>
      <c r="E30" s="3" t="inlineStr">
        <is>
          <t>Capital</t>
        </is>
      </c>
      <c r="F30" s="19" t="n">
        <v>45720</v>
      </c>
      <c r="G30" s="20" t="n">
        <v>259.8</v>
      </c>
      <c r="H30" s="21" t="n">
        <v>0.4</v>
      </c>
      <c r="I30" s="20" t="n">
        <v>326.33</v>
      </c>
      <c r="J30" s="20" t="n">
        <v>130.54</v>
      </c>
      <c r="K30" s="22" t="n">
        <v>25.62</v>
      </c>
      <c r="L30" s="22" t="n">
        <v>4.88</v>
      </c>
      <c r="M30" s="22" t="n">
        <v>1.42</v>
      </c>
      <c r="N30" s="22" t="n">
        <v>0.14</v>
      </c>
      <c r="O30" s="22" t="n">
        <v>24.63</v>
      </c>
      <c r="P30" s="22" t="n">
        <v>0.99</v>
      </c>
      <c r="Q30" s="22" t="n">
        <v>0.42</v>
      </c>
      <c r="R30" s="22" t="n">
        <v>73.69</v>
      </c>
      <c r="S30" s="22" t="n">
        <v>3.92</v>
      </c>
      <c r="T30" s="7" t="n">
        <v>44.45</v>
      </c>
    </row>
    <row r="31">
      <c r="A31" s="3" t="inlineStr">
        <is>
          <t>GLD</t>
        </is>
      </c>
      <c r="B31" t="inlineStr">
        <is>
          <t>SPDR Gold Shares</t>
        </is>
      </c>
      <c r="C31" s="3" t="n"/>
      <c r="D31" s="3" t="n"/>
      <c r="E31" s="3" t="inlineStr">
        <is>
          <t>Capital</t>
        </is>
      </c>
      <c r="F31" s="19" t="n">
        <v>45622</v>
      </c>
      <c r="G31" s="20" t="n">
        <v>232.04</v>
      </c>
      <c r="H31" s="21" t="n">
        <v>3.1</v>
      </c>
      <c r="I31" s="20" t="n">
        <v>344.29</v>
      </c>
      <c r="J31" s="20" t="n">
        <v>1067.29</v>
      </c>
      <c r="K31" s="22" t="n">
        <v>48.37</v>
      </c>
      <c r="L31" s="22" t="n">
        <v>-6.91</v>
      </c>
      <c r="M31" s="22" t="n">
        <v>2.2</v>
      </c>
      <c r="N31" s="22" t="n">
        <v>1.17</v>
      </c>
      <c r="O31" s="22" t="n">
        <v>19.01</v>
      </c>
      <c r="P31" s="22" t="n">
        <v>29.36</v>
      </c>
      <c r="Q31" s="22" t="n"/>
      <c r="R31" s="22" t="n"/>
      <c r="S31" s="22" t="n"/>
      <c r="T31" s="7" t="n"/>
    </row>
    <row r="32">
      <c r="A32" s="3" t="inlineStr">
        <is>
          <t>ITX.MC</t>
        </is>
      </c>
      <c r="B32" t="inlineStr">
        <is>
          <t>Inditex</t>
        </is>
      </c>
      <c r="C32" s="3" t="inlineStr">
        <is>
          <t>Consumer Cyclical</t>
        </is>
      </c>
      <c r="D32" s="3" t="inlineStr">
        <is>
          <t>Spain</t>
        </is>
      </c>
      <c r="E32" s="3" t="inlineStr">
        <is>
          <t>Capital</t>
        </is>
      </c>
      <c r="F32" s="19" t="n">
        <v>45757</v>
      </c>
      <c r="G32" s="20" t="n">
        <v>46.77</v>
      </c>
      <c r="H32" s="21" t="n">
        <v>25.9</v>
      </c>
      <c r="I32" s="20" t="n">
        <v>53.26</v>
      </c>
      <c r="J32" s="20" t="n">
        <v>1379.43</v>
      </c>
      <c r="K32" s="22" t="n">
        <v>13.88</v>
      </c>
      <c r="L32" s="22" t="n">
        <v>-7.69</v>
      </c>
      <c r="M32" s="22" t="n">
        <v>0.82</v>
      </c>
      <c r="N32" s="22" t="n">
        <v>1.51</v>
      </c>
      <c r="O32" s="22" t="n">
        <v>42.18</v>
      </c>
      <c r="P32" s="22" t="n">
        <v>-28.3</v>
      </c>
      <c r="Q32" s="22" t="n">
        <v>3.93</v>
      </c>
      <c r="R32" s="22" t="n">
        <v>-1.45</v>
      </c>
      <c r="S32" s="22" t="n">
        <v>30.66</v>
      </c>
      <c r="T32" s="7" t="n">
        <v>51.11</v>
      </c>
    </row>
    <row r="33">
      <c r="A33" s="3" t="inlineStr">
        <is>
          <t>BEI.DE</t>
        </is>
      </c>
      <c r="B33" t="inlineStr">
        <is>
          <t>Beiersdorf</t>
        </is>
      </c>
      <c r="C33" s="3" t="inlineStr">
        <is>
          <t>Consumer Defensive</t>
        </is>
      </c>
      <c r="D33" s="3" t="inlineStr">
        <is>
          <t>Germany</t>
        </is>
      </c>
      <c r="E33" s="3" t="inlineStr">
        <is>
          <t>Capital</t>
        </is>
      </c>
      <c r="F33" s="19" t="n">
        <v>46139</v>
      </c>
      <c r="G33" s="20" t="n">
        <v>72.2</v>
      </c>
      <c r="H33" s="21" t="n">
        <v>24</v>
      </c>
      <c r="I33" s="20" t="n">
        <v>78.55</v>
      </c>
      <c r="J33" s="20" t="n">
        <v>1885.2</v>
      </c>
      <c r="K33" s="22" t="n">
        <v>8.800000000000001</v>
      </c>
      <c r="L33" s="22" t="n">
        <v>-2.65</v>
      </c>
      <c r="M33" s="22" t="n">
        <v>2.2</v>
      </c>
      <c r="N33" s="22" t="n">
        <v>2.07</v>
      </c>
      <c r="O33" s="22" t="n">
        <v>10.48</v>
      </c>
      <c r="P33" s="22" t="n">
        <v>-1.68</v>
      </c>
      <c r="Q33" s="22" t="n">
        <v>1.88</v>
      </c>
      <c r="R33" s="22" t="n">
        <v>-59.45</v>
      </c>
      <c r="S33" s="22" t="n">
        <v>11.21</v>
      </c>
      <c r="T33" s="7" t="n">
        <v>8.33</v>
      </c>
    </row>
    <row r="34">
      <c r="A34" s="3" t="inlineStr">
        <is>
          <t>LDO.MI</t>
        </is>
      </c>
      <c r="B34" t="inlineStr">
        <is>
          <t>Leonardo</t>
        </is>
      </c>
      <c r="C34" s="3" t="inlineStr">
        <is>
          <t>Industrials</t>
        </is>
      </c>
      <c r="D34" s="3" t="inlineStr">
        <is>
          <t>Italy</t>
        </is>
      </c>
      <c r="E34" s="3" t="inlineStr">
        <is>
          <t>Capital</t>
        </is>
      </c>
      <c r="F34" s="19" t="n">
        <v>45682</v>
      </c>
      <c r="G34" s="20" t="n">
        <v>37.28</v>
      </c>
      <c r="H34" s="21" t="n">
        <v>35</v>
      </c>
      <c r="I34" s="20" t="n">
        <v>49.01</v>
      </c>
      <c r="J34" s="20" t="n">
        <v>1715.35</v>
      </c>
      <c r="K34" s="22" t="n">
        <v>40.76</v>
      </c>
      <c r="L34" s="22" t="n">
        <v>-11.04</v>
      </c>
      <c r="M34" s="22" t="n">
        <v>2.04</v>
      </c>
      <c r="N34" s="22" t="n">
        <v>1.88</v>
      </c>
      <c r="O34" s="22" t="n">
        <v>19.51</v>
      </c>
      <c r="P34" s="22" t="n">
        <v>21.25</v>
      </c>
      <c r="Q34" s="22" t="n">
        <v>2.6</v>
      </c>
      <c r="R34" s="22" t="n">
        <v>13.62</v>
      </c>
      <c r="S34" s="22" t="n">
        <v>10.29</v>
      </c>
      <c r="T34" s="7" t="n">
        <v>42.31</v>
      </c>
    </row>
    <row r="35">
      <c r="A35" s="3" t="inlineStr">
        <is>
          <t>RWE.DE</t>
        </is>
      </c>
      <c r="B35" t="inlineStr">
        <is>
          <t>RWE</t>
        </is>
      </c>
      <c r="C35" s="3" t="inlineStr">
        <is>
          <t>Utilities</t>
        </is>
      </c>
      <c r="D35" s="3" t="inlineStr">
        <is>
          <t>Germany</t>
        </is>
      </c>
      <c r="E35" s="3" t="inlineStr">
        <is>
          <t>Capital</t>
        </is>
      </c>
      <c r="F35" s="19" t="n">
        <v>45663</v>
      </c>
      <c r="G35" s="20" t="n">
        <v>30.41</v>
      </c>
      <c r="H35" s="21" t="n">
        <v>14</v>
      </c>
      <c r="I35" s="20" t="n">
        <v>59.24</v>
      </c>
      <c r="J35" s="20" t="n">
        <v>829.36</v>
      </c>
      <c r="K35" s="22" t="n">
        <v>94.84</v>
      </c>
      <c r="L35" s="22" t="n">
        <v>2.84</v>
      </c>
      <c r="M35" s="22" t="n">
        <v>4.74</v>
      </c>
      <c r="N35" s="22" t="n">
        <v>0.91</v>
      </c>
      <c r="O35" s="22" t="n">
        <v>17.14</v>
      </c>
      <c r="P35" s="22" t="n">
        <v>77.7</v>
      </c>
      <c r="Q35" s="22" t="n">
        <v>-10.92</v>
      </c>
      <c r="R35" s="22" t="n"/>
      <c r="S35" s="22" t="n">
        <v>2.62</v>
      </c>
      <c r="T35" s="7" t="n">
        <v>0</v>
      </c>
    </row>
    <row r="36">
      <c r="A36" s="3" t="inlineStr">
        <is>
          <t>CRM</t>
        </is>
      </c>
      <c r="B36" t="inlineStr">
        <is>
          <t>Salesforce Inc</t>
        </is>
      </c>
      <c r="C36" s="3" t="inlineStr">
        <is>
          <t>Technology</t>
        </is>
      </c>
      <c r="D36" s="3" t="inlineStr">
        <is>
          <t>United States</t>
        </is>
      </c>
      <c r="E36" s="3" t="inlineStr">
        <is>
          <t>Capital</t>
        </is>
      </c>
      <c r="F36" s="19" t="n">
        <v>46197</v>
      </c>
      <c r="G36" s="20" t="n">
        <v>135.15</v>
      </c>
      <c r="H36" s="21" t="n">
        <v>8</v>
      </c>
      <c r="I36" s="20" t="n">
        <v>205.36</v>
      </c>
      <c r="J36" s="20" t="n">
        <v>1642.84</v>
      </c>
      <c r="K36" s="22" t="n">
        <v>51.95</v>
      </c>
      <c r="L36" s="22" t="n">
        <v>-7.15</v>
      </c>
      <c r="M36" s="22" t="n">
        <v>17.32</v>
      </c>
      <c r="N36" s="22" t="n">
        <v>1.8</v>
      </c>
      <c r="O36" s="22" t="n">
        <v>3.35</v>
      </c>
      <c r="P36" s="22" t="n">
        <v>48.6</v>
      </c>
      <c r="Q36" s="22" t="n">
        <v>7.48</v>
      </c>
      <c r="R36" s="22" t="n">
        <v>15.83</v>
      </c>
      <c r="S36" s="22" t="n">
        <v>9.49</v>
      </c>
      <c r="T36" s="7" t="n">
        <v>37.78</v>
      </c>
    </row>
    <row r="37">
      <c r="A37" s="3" t="inlineStr">
        <is>
          <t>AIR.PA</t>
        </is>
      </c>
      <c r="B37" t="inlineStr">
        <is>
          <t>Airbus</t>
        </is>
      </c>
      <c r="C37" s="3" t="inlineStr">
        <is>
          <t>Industrials</t>
        </is>
      </c>
      <c r="D37" s="3" t="inlineStr">
        <is>
          <t>Netherlands</t>
        </is>
      </c>
      <c r="E37" s="3" t="inlineStr">
        <is>
          <t>Capital</t>
        </is>
      </c>
      <c r="F37" s="19" t="n">
        <v>45632</v>
      </c>
      <c r="G37" s="20" t="n">
        <v>156</v>
      </c>
      <c r="H37" s="21" t="n">
        <v>1.04</v>
      </c>
      <c r="I37" s="20" t="n">
        <v>192.14</v>
      </c>
      <c r="J37" s="20" t="n">
        <v>199.83</v>
      </c>
      <c r="K37" s="22" t="n">
        <v>23.17</v>
      </c>
      <c r="L37" s="22" t="n">
        <v>-5.41</v>
      </c>
      <c r="M37" s="22" t="n">
        <v>1.1</v>
      </c>
      <c r="N37" s="22" t="n">
        <v>0.22</v>
      </c>
      <c r="O37" s="22" t="n">
        <v>18.96</v>
      </c>
      <c r="P37" s="22" t="n">
        <v>4.21</v>
      </c>
      <c r="Q37" s="22" t="n">
        <v>2.65</v>
      </c>
      <c r="R37" s="22" t="n">
        <v>7.98</v>
      </c>
      <c r="S37" s="22" t="n">
        <v>11.77</v>
      </c>
      <c r="T37" s="7" t="n">
        <v>48.4</v>
      </c>
    </row>
    <row r="38">
      <c r="A38" s="3" t="inlineStr">
        <is>
          <t>FFARM.AS</t>
        </is>
      </c>
      <c r="B38" t="inlineStr">
        <is>
          <t>ForFarmers</t>
        </is>
      </c>
      <c r="C38" s="3" t="inlineStr">
        <is>
          <t>Consumer Defensive</t>
        </is>
      </c>
      <c r="D38" s="3" t="inlineStr">
        <is>
          <t>Netherlands</t>
        </is>
      </c>
      <c r="E38" s="3" t="inlineStr">
        <is>
          <t>Capital</t>
        </is>
      </c>
      <c r="F38" s="19" t="n">
        <v>46273</v>
      </c>
      <c r="G38" s="20" t="n">
        <v>5.63</v>
      </c>
      <c r="H38" s="21" t="n">
        <v>250</v>
      </c>
      <c r="I38" s="20" t="n">
        <v>5.91</v>
      </c>
      <c r="J38" s="20" t="n">
        <v>1477.5</v>
      </c>
      <c r="K38" s="22" t="n">
        <v>4.97</v>
      </c>
      <c r="L38" s="22" t="n">
        <v>4.02</v>
      </c>
      <c r="M38" s="22" t="n">
        <v>4.97</v>
      </c>
      <c r="N38" s="22" t="n">
        <v>1.62</v>
      </c>
      <c r="O38" s="22" t="n">
        <v>1.7</v>
      </c>
      <c r="P38" s="22" t="n">
        <v>3.27</v>
      </c>
      <c r="Q38" s="22" t="n">
        <v>18.4</v>
      </c>
      <c r="R38" s="22" t="n">
        <v>130</v>
      </c>
      <c r="S38" s="22" t="n">
        <v>14.52</v>
      </c>
      <c r="T38" s="7" t="n">
        <v>83.33</v>
      </c>
    </row>
    <row r="39">
      <c r="A39" s="3" t="inlineStr">
        <is>
          <t>SAAB-B.ST</t>
        </is>
      </c>
      <c r="B39" t="inlineStr">
        <is>
          <t>Saab</t>
        </is>
      </c>
      <c r="C39" s="3" t="inlineStr">
        <is>
          <t>Industrials</t>
        </is>
      </c>
      <c r="D39" s="3" t="inlineStr">
        <is>
          <t>Sweden</t>
        </is>
      </c>
      <c r="E39" s="3" t="inlineStr">
        <is>
          <t>Capital</t>
        </is>
      </c>
      <c r="F39" s="19" t="n">
        <v>45721</v>
      </c>
      <c r="G39" s="20" t="n">
        <v>33.18</v>
      </c>
      <c r="H39" s="21" t="n">
        <v>24</v>
      </c>
      <c r="I39" s="20" t="n">
        <v>54.61</v>
      </c>
      <c r="J39" s="20" t="n">
        <v>1310.64</v>
      </c>
      <c r="K39" s="22" t="n">
        <v>64.58</v>
      </c>
      <c r="L39" s="22" t="n">
        <v>-2.89</v>
      </c>
      <c r="M39" s="22" t="n">
        <v>3.59</v>
      </c>
      <c r="N39" s="22" t="n">
        <v>1.44</v>
      </c>
      <c r="O39" s="22" t="n">
        <v>26.27</v>
      </c>
      <c r="P39" s="22" t="n">
        <v>38.31</v>
      </c>
      <c r="Q39" s="22" t="n">
        <v>1.46</v>
      </c>
      <c r="R39" s="22" t="n">
        <v>157.95</v>
      </c>
      <c r="S39" s="22" t="n">
        <v>11.37</v>
      </c>
      <c r="T39" s="7" t="n">
        <v>58.97</v>
      </c>
    </row>
    <row r="40">
      <c r="A40" s="3" t="inlineStr">
        <is>
          <t>IESC</t>
        </is>
      </c>
      <c r="B40" t="inlineStr">
        <is>
          <t>IES Holdings Inc</t>
        </is>
      </c>
      <c r="C40" s="3" t="inlineStr">
        <is>
          <t>Industrials</t>
        </is>
      </c>
      <c r="D40" s="3" t="inlineStr">
        <is>
          <t>United States</t>
        </is>
      </c>
      <c r="E40" s="3" t="inlineStr">
        <is>
          <t>Capital</t>
        </is>
      </c>
      <c r="F40" s="19" t="n">
        <v>46258</v>
      </c>
      <c r="G40" s="20" t="n">
        <v>99.09</v>
      </c>
      <c r="H40" s="21" t="n">
        <v>2</v>
      </c>
      <c r="I40" s="20" t="n">
        <v>284.16</v>
      </c>
      <c r="J40" s="20" t="n">
        <v>568.33</v>
      </c>
      <c r="K40" s="22" t="n">
        <v>186.78</v>
      </c>
      <c r="L40" s="22" t="n">
        <v>-2.86</v>
      </c>
      <c r="M40" s="22" t="n">
        <v>186.78</v>
      </c>
      <c r="N40" s="22" t="n">
        <v>0.62</v>
      </c>
      <c r="O40" s="22" t="n">
        <v>2.72</v>
      </c>
      <c r="P40" s="22" t="n">
        <v>184.06</v>
      </c>
      <c r="Q40" s="22" t="n">
        <v>1.69</v>
      </c>
      <c r="R40" s="22" t="n">
        <v>15.64</v>
      </c>
      <c r="S40" s="22" t="n">
        <v>32.81</v>
      </c>
      <c r="T40" s="7" t="n">
        <v>71.15000000000001</v>
      </c>
    </row>
    <row r="41">
      <c r="A41" s="3" t="inlineStr">
        <is>
          <t>ULVR.L</t>
        </is>
      </c>
      <c r="B41" t="inlineStr">
        <is>
          <t>Unilever - GBP</t>
        </is>
      </c>
      <c r="C41" s="3" t="inlineStr">
        <is>
          <t>Consumer Defensive</t>
        </is>
      </c>
      <c r="D41" s="3" t="inlineStr">
        <is>
          <t>United Kingdom</t>
        </is>
      </c>
      <c r="E41" s="3" t="inlineStr">
        <is>
          <t>Capital</t>
        </is>
      </c>
      <c r="F41" s="19" t="n">
        <v>46127</v>
      </c>
      <c r="G41" s="20" t="n">
        <v>48.81</v>
      </c>
      <c r="H41" s="21" t="n">
        <v>48.4</v>
      </c>
      <c r="I41" s="20" t="n">
        <v>54.26</v>
      </c>
      <c r="J41" s="20" t="n">
        <v>2625.95</v>
      </c>
      <c r="K41" s="22" t="n">
        <v>11.15</v>
      </c>
      <c r="L41" s="22" t="n">
        <v>-1.84</v>
      </c>
      <c r="M41" s="22" t="n">
        <v>2.23</v>
      </c>
      <c r="N41" s="22" t="n">
        <v>2.88</v>
      </c>
      <c r="O41" s="22" t="n">
        <v>13.94</v>
      </c>
      <c r="P41" s="22" t="n">
        <v>-2.79</v>
      </c>
      <c r="Q41" s="22" t="n">
        <v>5.79</v>
      </c>
      <c r="R41" s="22" t="n">
        <v>-14.5</v>
      </c>
      <c r="S41" s="22" t="n">
        <v>46.6</v>
      </c>
      <c r="T41" s="7" t="n">
        <v>66.67</v>
      </c>
    </row>
    <row r="42">
      <c r="A42" s="3" t="inlineStr">
        <is>
          <t>TSM</t>
        </is>
      </c>
      <c r="B42" t="inlineStr">
        <is>
          <t>Taiwan Semiconductor Manufacturing Co Ltd - ADR</t>
        </is>
      </c>
      <c r="C42" s="3" t="inlineStr">
        <is>
          <t>Technology</t>
        </is>
      </c>
      <c r="D42" s="3" t="inlineStr">
        <is>
          <t>Taiwan</t>
        </is>
      </c>
      <c r="E42" s="3" t="inlineStr">
        <is>
          <t>Capital</t>
        </is>
      </c>
      <c r="F42" s="19" t="n">
        <v>45757</v>
      </c>
      <c r="G42" s="20" t="n">
        <v>147.77</v>
      </c>
      <c r="H42" s="21" t="n">
        <v>8</v>
      </c>
      <c r="I42" s="20" t="n">
        <v>394.91</v>
      </c>
      <c r="J42" s="20" t="n">
        <v>3159.31</v>
      </c>
      <c r="K42" s="22" t="n">
        <v>167.25</v>
      </c>
      <c r="L42" s="22" t="n">
        <v>5.46</v>
      </c>
      <c r="M42" s="22" t="n">
        <v>9.84</v>
      </c>
      <c r="N42" s="22" t="n">
        <v>3.47</v>
      </c>
      <c r="O42" s="22" t="n">
        <v>42.18</v>
      </c>
      <c r="P42" s="22" t="n">
        <v>125.07</v>
      </c>
      <c r="Q42" s="22" t="n">
        <v>1.34</v>
      </c>
      <c r="R42" s="22" t="n">
        <v>15.23</v>
      </c>
      <c r="S42" s="22" t="n">
        <v>25.16</v>
      </c>
      <c r="T42" s="7" t="n">
        <v>34.07</v>
      </c>
    </row>
    <row r="43">
      <c r="A43" s="3" t="inlineStr">
        <is>
          <t>HEN3.DE</t>
        </is>
      </c>
      <c r="B43" t="inlineStr">
        <is>
          <t>Henkel</t>
        </is>
      </c>
      <c r="C43" s="3" t="inlineStr">
        <is>
          <t>Consumer Defensive</t>
        </is>
      </c>
      <c r="D43" s="3" t="inlineStr">
        <is>
          <t>Germany</t>
        </is>
      </c>
      <c r="E43" s="3" t="inlineStr">
        <is>
          <t>Capital</t>
        </is>
      </c>
      <c r="F43" s="19" t="n">
        <v>46041</v>
      </c>
      <c r="G43" s="20" t="n">
        <v>72.40000000000001</v>
      </c>
      <c r="H43" s="21" t="n">
        <v>15.2</v>
      </c>
      <c r="I43" s="20" t="n">
        <v>73.7</v>
      </c>
      <c r="J43" s="20" t="n">
        <v>1120.24</v>
      </c>
      <c r="K43" s="22" t="n">
        <v>1.8</v>
      </c>
      <c r="L43" s="22" t="n">
        <v>-2.59</v>
      </c>
      <c r="M43" s="22" t="n">
        <v>0.23</v>
      </c>
      <c r="N43" s="22" t="n">
        <v>1.23</v>
      </c>
      <c r="O43" s="22" t="n">
        <v>14.57</v>
      </c>
      <c r="P43" s="22" t="n">
        <v>-12.77</v>
      </c>
      <c r="Q43" s="22" t="n">
        <v>6.17</v>
      </c>
      <c r="R43" s="22" t="n">
        <v>-26.14</v>
      </c>
      <c r="S43" s="22" t="n">
        <v>8.93</v>
      </c>
      <c r="T43" s="7" t="n">
        <v>33.33</v>
      </c>
    </row>
    <row r="44">
      <c r="A44" s="3" t="inlineStr">
        <is>
          <t>IDCC</t>
        </is>
      </c>
      <c r="B44" t="inlineStr">
        <is>
          <t>InterDigital, Inc.</t>
        </is>
      </c>
      <c r="C44" s="3" t="inlineStr">
        <is>
          <t>Technology</t>
        </is>
      </c>
      <c r="D44" s="3" t="inlineStr">
        <is>
          <t>United States</t>
        </is>
      </c>
      <c r="E44" s="3" t="inlineStr">
        <is>
          <t>Capital</t>
        </is>
      </c>
      <c r="F44" s="19" t="n">
        <v>45642</v>
      </c>
      <c r="G44" s="20" t="n">
        <v>186.62</v>
      </c>
      <c r="H44" s="21" t="n">
        <v>2</v>
      </c>
      <c r="I44" s="20" t="n">
        <v>290.82</v>
      </c>
      <c r="J44" s="20" t="n">
        <v>581.64</v>
      </c>
      <c r="K44" s="22" t="n">
        <v>55.83</v>
      </c>
      <c r="L44" s="22" t="n">
        <v>-0.13</v>
      </c>
      <c r="M44" s="22" t="n">
        <v>2.66</v>
      </c>
      <c r="N44" s="22" t="n">
        <v>0.64</v>
      </c>
      <c r="O44" s="22" t="n">
        <v>18.41</v>
      </c>
      <c r="P44" s="22" t="n">
        <v>37.42</v>
      </c>
      <c r="Q44" s="22" t="n">
        <v>5.5</v>
      </c>
      <c r="R44" s="22" t="n">
        <v>122.72</v>
      </c>
      <c r="S44" s="22" t="n">
        <v>25.33</v>
      </c>
      <c r="T44" s="7" t="n">
        <v>66.3</v>
      </c>
    </row>
    <row r="45">
      <c r="A45" s="3" t="inlineStr">
        <is>
          <t>ACM.US</t>
        </is>
      </c>
      <c r="B45" t="inlineStr">
        <is>
          <t>AECOM</t>
        </is>
      </c>
      <c r="C45" s="3" t="inlineStr">
        <is>
          <t>Industrials</t>
        </is>
      </c>
      <c r="D45" s="3" t="inlineStr">
        <is>
          <t>United States</t>
        </is>
      </c>
      <c r="E45" s="3" t="inlineStr">
        <is>
          <t>Freedom24</t>
        </is>
      </c>
      <c r="F45" s="19" t="n">
        <v>45790</v>
      </c>
      <c r="G45" s="20" t="n">
        <v>96.78</v>
      </c>
      <c r="H45" s="21" t="n">
        <v>10</v>
      </c>
      <c r="I45" s="20" t="n">
        <v>53.95</v>
      </c>
      <c r="J45" s="20" t="n">
        <v>523.01</v>
      </c>
      <c r="K45" s="22" t="n">
        <v>-44.26</v>
      </c>
      <c r="L45" s="22" t="n">
        <v>-8.08</v>
      </c>
      <c r="M45" s="22" t="n">
        <v>-2.77</v>
      </c>
      <c r="N45" s="22" t="n">
        <v>0.57</v>
      </c>
      <c r="O45" s="22" t="n">
        <v>28.28</v>
      </c>
      <c r="P45" s="22" t="n">
        <v>-72.54000000000001</v>
      </c>
      <c r="Q45" s="22" t="n">
        <v>8.74</v>
      </c>
      <c r="R45" s="22" t="n">
        <v>-3.24</v>
      </c>
      <c r="S45" s="22" t="n">
        <v>15.81</v>
      </c>
      <c r="T45" s="7" t="n">
        <v>59.62</v>
      </c>
    </row>
    <row r="46">
      <c r="A46" s="3" t="inlineStr">
        <is>
          <t>AEGN.GR</t>
        </is>
      </c>
      <c r="B46" t="inlineStr">
        <is>
          <t>AEGEAN AIRLINES (CR)</t>
        </is>
      </c>
      <c r="C46" s="3" t="inlineStr">
        <is>
          <t>Industrials</t>
        </is>
      </c>
      <c r="D46" s="3" t="inlineStr">
        <is>
          <t>Greece</t>
        </is>
      </c>
      <c r="E46" s="3" t="inlineStr">
        <is>
          <t>Freedom24</t>
        </is>
      </c>
      <c r="F46" s="19" t="n">
        <v>46166</v>
      </c>
      <c r="G46" s="20" t="n">
        <v>12.3</v>
      </c>
      <c r="H46" s="21" t="n">
        <v>181</v>
      </c>
      <c r="I46" s="20" t="n">
        <v>11.43</v>
      </c>
      <c r="J46" s="20" t="n">
        <v>2025.39</v>
      </c>
      <c r="K46" s="22" t="n">
        <v>-7.07</v>
      </c>
      <c r="L46" s="22" t="n">
        <v>-8.48</v>
      </c>
      <c r="M46" s="22" t="n">
        <v>-1.77</v>
      </c>
      <c r="N46" s="22" t="n">
        <v>2.22</v>
      </c>
      <c r="O46" s="22" t="n">
        <v>4.5</v>
      </c>
      <c r="P46" s="22" t="n">
        <v>-11.57</v>
      </c>
      <c r="Q46" s="22" t="n">
        <v>7.07</v>
      </c>
      <c r="R46" s="22" t="n">
        <v>-74.81999999999999</v>
      </c>
      <c r="S46" s="22" t="n">
        <v>16.01</v>
      </c>
      <c r="T46" s="7" t="n">
        <v>51.28</v>
      </c>
    </row>
    <row r="47">
      <c r="A47" s="3" t="inlineStr">
        <is>
          <t>ALPHA.GR</t>
        </is>
      </c>
      <c r="B47" t="inlineStr">
        <is>
          <t>ALPHA BANK (CR)</t>
        </is>
      </c>
      <c r="C47" s="3" t="inlineStr">
        <is>
          <t>Financial Services</t>
        </is>
      </c>
      <c r="D47" s="3" t="inlineStr">
        <is>
          <t>Greece</t>
        </is>
      </c>
      <c r="E47" s="3" t="inlineStr">
        <is>
          <t>Freedom24</t>
        </is>
      </c>
      <c r="F47" s="19" t="n">
        <v>46230</v>
      </c>
      <c r="G47" s="20" t="n">
        <v>4.1</v>
      </c>
      <c r="H47" s="21" t="n">
        <v>478</v>
      </c>
      <c r="I47" s="20" t="n">
        <v>4.67</v>
      </c>
      <c r="J47" s="20" t="n">
        <v>2194.5</v>
      </c>
      <c r="K47" s="22" t="n">
        <v>13.87</v>
      </c>
      <c r="L47" s="22" t="n">
        <v>1.35</v>
      </c>
      <c r="M47" s="22" t="n">
        <v>13.87</v>
      </c>
      <c r="N47" s="22" t="n">
        <v>2.41</v>
      </c>
      <c r="O47" s="22" t="n">
        <v>3.78</v>
      </c>
      <c r="P47" s="22" t="n">
        <v>10.09</v>
      </c>
      <c r="Q47" s="22" t="n">
        <v>6.5</v>
      </c>
      <c r="R47" s="22" t="n"/>
      <c r="S47" s="22" t="n"/>
      <c r="T47" s="7" t="n"/>
    </row>
    <row r="48">
      <c r="A48" s="3" t="inlineStr">
        <is>
          <t>ASML.EU</t>
        </is>
      </c>
      <c r="B48" t="inlineStr">
        <is>
          <t>ASML Holding</t>
        </is>
      </c>
      <c r="C48" s="3" t="inlineStr">
        <is>
          <t>Technology</t>
        </is>
      </c>
      <c r="D48" s="3" t="inlineStr">
        <is>
          <t>Netherlands</t>
        </is>
      </c>
      <c r="E48" s="3" t="inlineStr">
        <is>
          <t>Freedom24</t>
        </is>
      </c>
      <c r="F48" s="19" t="n">
        <v>45848</v>
      </c>
      <c r="G48" s="20" t="n">
        <v>682.3</v>
      </c>
      <c r="H48" s="21" t="n">
        <v>1</v>
      </c>
      <c r="I48" s="20" t="n">
        <v>1527.2</v>
      </c>
      <c r="J48" s="20" t="n">
        <v>1522.2</v>
      </c>
      <c r="K48" s="22" t="n">
        <v>123.83</v>
      </c>
      <c r="L48" s="22" t="n">
        <v>0.51</v>
      </c>
      <c r="M48" s="22" t="n">
        <v>8.85</v>
      </c>
      <c r="N48" s="22" t="n">
        <v>1.67</v>
      </c>
      <c r="O48" s="22" t="n">
        <v>27.11</v>
      </c>
      <c r="P48" s="22" t="n">
        <v>96.72</v>
      </c>
      <c r="Q48" s="22" t="n">
        <v>1.88</v>
      </c>
      <c r="R48" s="22" t="n">
        <v>21.4</v>
      </c>
      <c r="S48" s="22" t="n">
        <v>38.77</v>
      </c>
      <c r="T48" s="7" t="n">
        <v>58.89</v>
      </c>
    </row>
    <row r="49">
      <c r="A49" s="3" t="inlineStr">
        <is>
          <t>BELA.GR</t>
        </is>
      </c>
      <c r="B49" t="inlineStr">
        <is>
          <t>JUMBO (CR)</t>
        </is>
      </c>
      <c r="C49" s="3" t="inlineStr">
        <is>
          <t>Consumer Cyclical</t>
        </is>
      </c>
      <c r="D49" s="3" t="inlineStr">
        <is>
          <t>Greece</t>
        </is>
      </c>
      <c r="E49" s="3" t="inlineStr">
        <is>
          <t>Freedom24</t>
        </is>
      </c>
      <c r="F49" s="19" t="n">
        <v>46111</v>
      </c>
      <c r="G49" s="20" t="n">
        <v>22.5</v>
      </c>
      <c r="H49" s="21" t="n">
        <v>90</v>
      </c>
      <c r="I49" s="20" t="n">
        <v>24.88</v>
      </c>
      <c r="J49" s="20" t="n">
        <v>2208.6</v>
      </c>
      <c r="K49" s="22" t="n">
        <v>10.58</v>
      </c>
      <c r="L49" s="22" t="n">
        <v>-5.03</v>
      </c>
      <c r="M49" s="22" t="n">
        <v>2.12</v>
      </c>
      <c r="N49" s="22" t="n">
        <v>2.42</v>
      </c>
      <c r="O49" s="22" t="n">
        <v>21.25</v>
      </c>
      <c r="P49" s="22" t="n">
        <v>-10.67</v>
      </c>
      <c r="Q49" s="22" t="n">
        <v>7.84</v>
      </c>
      <c r="R49" s="22" t="n">
        <v>10.32</v>
      </c>
      <c r="S49" s="22" t="n">
        <v>20.19</v>
      </c>
      <c r="T49" s="7" t="n">
        <v>70</v>
      </c>
    </row>
    <row r="50">
      <c r="A50" s="3" t="inlineStr">
        <is>
          <t>CAP.EU</t>
        </is>
      </c>
      <c r="B50" t="inlineStr">
        <is>
          <t>Capgemini</t>
        </is>
      </c>
      <c r="C50" s="3" t="inlineStr">
        <is>
          <t>Technology</t>
        </is>
      </c>
      <c r="D50" s="3" t="inlineStr">
        <is>
          <t>France</t>
        </is>
      </c>
      <c r="E50" s="3" t="inlineStr">
        <is>
          <t>Freedom24</t>
        </is>
      </c>
      <c r="F50" s="19" t="n">
        <v>45848</v>
      </c>
      <c r="G50" s="20" t="n">
        <v>146.72</v>
      </c>
      <c r="H50" s="21" t="n">
        <v>10</v>
      </c>
      <c r="I50" s="20" t="n">
        <v>104.53</v>
      </c>
      <c r="J50" s="20" t="n">
        <v>1045</v>
      </c>
      <c r="K50" s="22" t="n">
        <v>-28.76</v>
      </c>
      <c r="L50" s="22" t="n">
        <v>-4.57</v>
      </c>
      <c r="M50" s="22" t="n">
        <v>-2.05</v>
      </c>
      <c r="N50" s="22" t="n">
        <v>1.15</v>
      </c>
      <c r="O50" s="22" t="n">
        <v>27.11</v>
      </c>
      <c r="P50" s="22" t="n">
        <v>-55.87</v>
      </c>
      <c r="Q50" s="22" t="n">
        <v>12.65</v>
      </c>
      <c r="R50" s="22" t="n">
        <v>-0.72</v>
      </c>
      <c r="S50" s="22" t="n">
        <v>9.43</v>
      </c>
      <c r="T50" s="7" t="n">
        <v>40.37</v>
      </c>
    </row>
    <row r="51">
      <c r="A51" s="3" t="inlineStr">
        <is>
          <t>COP.US</t>
        </is>
      </c>
      <c r="B51" t="inlineStr">
        <is>
          <t>ConocoPhillips</t>
        </is>
      </c>
      <c r="C51" s="3" t="inlineStr">
        <is>
          <t>Energy</t>
        </is>
      </c>
      <c r="D51" s="3" t="inlineStr">
        <is>
          <t>United States</t>
        </is>
      </c>
      <c r="E51" s="3" t="inlineStr">
        <is>
          <t>Freedom24</t>
        </is>
      </c>
      <c r="F51" s="19" t="n">
        <v>46092</v>
      </c>
      <c r="G51" s="20" t="n">
        <v>104.01</v>
      </c>
      <c r="H51" s="21" t="n">
        <v>21</v>
      </c>
      <c r="I51" s="20" t="n">
        <v>112.04</v>
      </c>
      <c r="J51" s="20" t="n">
        <v>2351.81</v>
      </c>
      <c r="K51" s="22" t="n">
        <v>7.72</v>
      </c>
      <c r="L51" s="22" t="n">
        <v>-1.71</v>
      </c>
      <c r="M51" s="22" t="n">
        <v>1.29</v>
      </c>
      <c r="N51" s="22" t="n">
        <v>2.58</v>
      </c>
      <c r="O51" s="22" t="n">
        <v>15.96</v>
      </c>
      <c r="P51" s="22" t="n">
        <v>-8.24</v>
      </c>
      <c r="Q51" s="22" t="n">
        <v>4.74</v>
      </c>
      <c r="R51" s="22" t="n">
        <v>-9.529999999999999</v>
      </c>
      <c r="S51" s="22" t="n">
        <v>8.220000000000001</v>
      </c>
      <c r="T51" s="7" t="n">
        <v>50</v>
      </c>
    </row>
    <row r="52">
      <c r="A52" s="3" t="inlineStr">
        <is>
          <t>EE.US</t>
        </is>
      </c>
      <c r="B52" t="inlineStr">
        <is>
          <t>Excelerate Energy Inc</t>
        </is>
      </c>
      <c r="C52" s="3" t="inlineStr">
        <is>
          <t>Energy</t>
        </is>
      </c>
      <c r="D52" s="3" t="inlineStr">
        <is>
          <t>United States</t>
        </is>
      </c>
      <c r="E52" s="3" t="inlineStr">
        <is>
          <t>Freedom24</t>
        </is>
      </c>
      <c r="F52" s="19" t="n">
        <v>45660</v>
      </c>
      <c r="G52" s="20" t="n">
        <v>30.96</v>
      </c>
      <c r="H52" s="21" t="n">
        <v>12</v>
      </c>
      <c r="I52" s="20" t="n">
        <v>29.01</v>
      </c>
      <c r="J52" s="20" t="n">
        <v>334.65</v>
      </c>
      <c r="K52" s="22" t="n">
        <v>-6.32</v>
      </c>
      <c r="L52" s="22" t="n">
        <v>-16.48</v>
      </c>
      <c r="M52" s="22" t="n">
        <v>-0.32</v>
      </c>
      <c r="N52" s="22" t="n">
        <v>0.37</v>
      </c>
      <c r="O52" s="22" t="n">
        <v>18.56</v>
      </c>
      <c r="P52" s="22" t="n">
        <v>-24.88</v>
      </c>
      <c r="Q52" s="22" t="n">
        <v>7.95</v>
      </c>
      <c r="R52" s="22" t="n">
        <v>127.34</v>
      </c>
      <c r="S52" s="22" t="n">
        <v>14.48</v>
      </c>
      <c r="T52" s="7" t="n">
        <v>83.33</v>
      </c>
    </row>
    <row r="53">
      <c r="A53" s="3" t="inlineStr">
        <is>
          <t>ELHA.GR</t>
        </is>
      </c>
      <c r="B53" t="inlineStr">
        <is>
          <t>ELVALHALCOR (CR)</t>
        </is>
      </c>
      <c r="C53" s="3" t="inlineStr">
        <is>
          <t>Industrials</t>
        </is>
      </c>
      <c r="D53" s="3" t="inlineStr">
        <is>
          <t>Greece</t>
        </is>
      </c>
      <c r="E53" s="3" t="inlineStr">
        <is>
          <t>Freedom24</t>
        </is>
      </c>
      <c r="F53" s="19" t="n">
        <v>46254</v>
      </c>
      <c r="G53" s="20" t="n">
        <v>3.68</v>
      </c>
      <c r="H53" s="21" t="n">
        <v>426</v>
      </c>
      <c r="I53" s="20" t="n">
        <v>3.68</v>
      </c>
      <c r="J53" s="20" t="n">
        <v>1557.03</v>
      </c>
      <c r="K53" s="22" t="n">
        <v>0</v>
      </c>
      <c r="L53" s="22" t="n">
        <v>-2.79</v>
      </c>
      <c r="M53" s="22" t="n">
        <v>0</v>
      </c>
      <c r="N53" s="22" t="n">
        <v>1.71</v>
      </c>
      <c r="O53" s="22" t="n">
        <v>2.31</v>
      </c>
      <c r="P53" s="22" t="n">
        <v>-2.31</v>
      </c>
      <c r="Q53" s="22" t="n">
        <v>4.86</v>
      </c>
      <c r="R53" s="22" t="n">
        <v>-58.86</v>
      </c>
      <c r="S53" s="22" t="n">
        <v>8.710000000000001</v>
      </c>
      <c r="T53" s="7" t="n">
        <v>34.94</v>
      </c>
    </row>
    <row r="54">
      <c r="A54" s="3" t="inlineStr">
        <is>
          <t>ETE.GR</t>
        </is>
      </c>
      <c r="B54" t="inlineStr">
        <is>
          <t>NATIONAL BANK (CR)</t>
        </is>
      </c>
      <c r="C54" s="3" t="inlineStr">
        <is>
          <t>Financial Services</t>
        </is>
      </c>
      <c r="D54" s="3" t="inlineStr">
        <is>
          <t>Greece</t>
        </is>
      </c>
      <c r="E54" s="3" t="inlineStr">
        <is>
          <t>Freedom24</t>
        </is>
      </c>
      <c r="F54" s="19" t="n">
        <v>46165</v>
      </c>
      <c r="G54" s="20" t="n">
        <v>14.43</v>
      </c>
      <c r="H54" s="21" t="n">
        <v>155</v>
      </c>
      <c r="I54" s="20" t="n">
        <v>17.55</v>
      </c>
      <c r="J54" s="20" t="n">
        <v>2702.43</v>
      </c>
      <c r="K54" s="22" t="n">
        <v>21.64</v>
      </c>
      <c r="L54" s="22" t="n">
        <v>3.9</v>
      </c>
      <c r="M54" s="22" t="n">
        <v>5.41</v>
      </c>
      <c r="N54" s="22" t="n">
        <v>2.96</v>
      </c>
      <c r="O54" s="22" t="n">
        <v>4.5</v>
      </c>
      <c r="P54" s="22" t="n">
        <v>17.14</v>
      </c>
      <c r="Q54" s="22" t="n">
        <v>20.28</v>
      </c>
      <c r="R54" s="22" t="n"/>
      <c r="S54" s="22" t="n"/>
      <c r="T54" s="7" t="n"/>
    </row>
    <row r="55">
      <c r="A55" s="3" t="inlineStr">
        <is>
          <t>EUROB.GR</t>
        </is>
      </c>
      <c r="B55" t="inlineStr">
        <is>
          <t>EUROBANK (CR)</t>
        </is>
      </c>
      <c r="C55" s="3" t="inlineStr">
        <is>
          <t>Financial Services</t>
        </is>
      </c>
      <c r="D55" s="3" t="inlineStr">
        <is>
          <t>Greece</t>
        </is>
      </c>
      <c r="E55" s="3" t="inlineStr">
        <is>
          <t>Freedom24</t>
        </is>
      </c>
      <c r="F55" s="19" t="n">
        <v>46165</v>
      </c>
      <c r="G55" s="20" t="n">
        <v>3.47</v>
      </c>
      <c r="H55" s="21" t="n">
        <v>239</v>
      </c>
      <c r="I55" s="20" t="n">
        <v>4.5</v>
      </c>
      <c r="J55" s="20" t="n">
        <v>1123.78</v>
      </c>
      <c r="K55" s="22" t="n">
        <v>29.86</v>
      </c>
      <c r="L55" s="22" t="n">
        <v>2.48</v>
      </c>
      <c r="M55" s="22" t="n">
        <v>7.46</v>
      </c>
      <c r="N55" s="22" t="n">
        <v>1.23</v>
      </c>
      <c r="O55" s="22" t="n">
        <v>4.5</v>
      </c>
      <c r="P55" s="22" t="n">
        <v>25.36</v>
      </c>
      <c r="Q55" s="22" t="n">
        <v>15.65</v>
      </c>
      <c r="R55" s="22" t="n">
        <v>2566.67</v>
      </c>
      <c r="S55" s="22" t="n"/>
      <c r="T55" s="7" t="n"/>
    </row>
    <row r="56">
      <c r="A56" s="3" t="inlineStr">
        <is>
          <t>EVD.EU</t>
        </is>
      </c>
      <c r="B56" t="inlineStr">
        <is>
          <t>CTS Eventim AG &amp; Co KGaA</t>
        </is>
      </c>
      <c r="C56" s="3" t="inlineStr">
        <is>
          <t>Communication Services</t>
        </is>
      </c>
      <c r="D56" s="3" t="inlineStr">
        <is>
          <t>Germany</t>
        </is>
      </c>
      <c r="E56" s="3" t="inlineStr">
        <is>
          <t>Freedom24</t>
        </is>
      </c>
      <c r="F56" s="19" t="n">
        <v>46146</v>
      </c>
      <c r="G56" s="20" t="n">
        <v>54.5</v>
      </c>
      <c r="H56" s="21" t="n">
        <v>10</v>
      </c>
      <c r="I56" s="20" t="n">
        <v>54.8</v>
      </c>
      <c r="J56" s="20" t="n">
        <v>549.5</v>
      </c>
      <c r="K56" s="22" t="n">
        <v>0.55</v>
      </c>
      <c r="L56" s="22" t="n">
        <v>-8.869999999999999</v>
      </c>
      <c r="M56" s="22" t="n">
        <v>0.14</v>
      </c>
      <c r="N56" s="22" t="n">
        <v>0.6</v>
      </c>
      <c r="O56" s="22" t="n">
        <v>9.140000000000001</v>
      </c>
      <c r="P56" s="22" t="n">
        <v>-8.59</v>
      </c>
      <c r="Q56" s="22" t="n">
        <v>1.63</v>
      </c>
      <c r="R56" s="22" t="n">
        <v>-73.98</v>
      </c>
      <c r="S56" s="22" t="n">
        <v>28.82</v>
      </c>
      <c r="T56" s="7" t="n"/>
    </row>
    <row r="57">
      <c r="A57" s="3" t="inlineStr">
        <is>
          <t>FCX.US</t>
        </is>
      </c>
      <c r="B57" t="inlineStr">
        <is>
          <t>Freeport-McMoran Cp &amp; Gld</t>
        </is>
      </c>
      <c r="C57" s="3" t="inlineStr">
        <is>
          <t>Basic Materials</t>
        </is>
      </c>
      <c r="D57" s="3" t="inlineStr">
        <is>
          <t>United States</t>
        </is>
      </c>
      <c r="E57" s="3" t="inlineStr">
        <is>
          <t>Freedom24</t>
        </is>
      </c>
      <c r="F57" s="19" t="n">
        <v>45849</v>
      </c>
      <c r="G57" s="20" t="n">
        <v>39.46</v>
      </c>
      <c r="H57" s="21" t="n">
        <v>24</v>
      </c>
      <c r="I57" s="20" t="n">
        <v>63.46</v>
      </c>
      <c r="J57" s="20" t="n">
        <v>1526.73</v>
      </c>
      <c r="K57" s="22" t="n">
        <v>60.82</v>
      </c>
      <c r="L57" s="22" t="n">
        <v>-7.79</v>
      </c>
      <c r="M57" s="22" t="n">
        <v>4.34</v>
      </c>
      <c r="N57" s="22" t="n">
        <v>1.67</v>
      </c>
      <c r="O57" s="22" t="n">
        <v>27.2</v>
      </c>
      <c r="P57" s="22" t="n">
        <v>33.62</v>
      </c>
      <c r="Q57" s="22" t="n">
        <v>1.07</v>
      </c>
      <c r="R57" s="22" t="n">
        <v>-52.55</v>
      </c>
      <c r="S57" s="22" t="n">
        <v>14.98</v>
      </c>
      <c r="T57" s="7" t="n"/>
    </row>
    <row r="58">
      <c r="A58" s="3" t="inlineStr">
        <is>
          <t>FOYRK.GR</t>
        </is>
      </c>
      <c r="B58" t="inlineStr">
        <is>
          <t>FOURLIS (CR)</t>
        </is>
      </c>
      <c r="C58" s="3" t="inlineStr">
        <is>
          <t>Consumer Cyclical</t>
        </is>
      </c>
      <c r="D58" s="3" t="inlineStr">
        <is>
          <t>Greece</t>
        </is>
      </c>
      <c r="E58" s="3" t="inlineStr">
        <is>
          <t>Freedom24</t>
        </is>
      </c>
      <c r="F58" s="19" t="n">
        <v>46265</v>
      </c>
      <c r="G58" s="20" t="n">
        <v>4.15</v>
      </c>
      <c r="H58" s="21" t="n">
        <v>300</v>
      </c>
      <c r="I58" s="20" t="n">
        <v>3.97</v>
      </c>
      <c r="J58" s="20" t="n">
        <v>1188</v>
      </c>
      <c r="K58" s="22" t="n">
        <v>-4.34</v>
      </c>
      <c r="L58" s="22" t="n">
        <v>-7.04</v>
      </c>
      <c r="M58" s="22" t="n">
        <v>-4.34</v>
      </c>
      <c r="N58" s="22" t="n">
        <v>1.3</v>
      </c>
      <c r="O58" s="22" t="n">
        <v>1.94</v>
      </c>
      <c r="P58" s="22" t="n">
        <v>-6.28</v>
      </c>
      <c r="Q58" s="22" t="n">
        <v>2.71</v>
      </c>
      <c r="R58" s="22" t="n">
        <v>-85.84</v>
      </c>
      <c r="S58" s="22" t="n">
        <v>3.13</v>
      </c>
      <c r="T58" s="7" t="n">
        <v>11.11</v>
      </c>
    </row>
    <row r="59">
      <c r="A59" s="3" t="inlineStr">
        <is>
          <t>LAMDA.GR</t>
        </is>
      </c>
      <c r="B59" t="inlineStr">
        <is>
          <t>LAMDA DEVELOPMENT (CR)</t>
        </is>
      </c>
      <c r="C59" s="3" t="inlineStr">
        <is>
          <t>Real Estate</t>
        </is>
      </c>
      <c r="D59" s="3" t="inlineStr">
        <is>
          <t>Greece</t>
        </is>
      </c>
      <c r="E59" s="3" t="inlineStr">
        <is>
          <t>Freedom24</t>
        </is>
      </c>
      <c r="F59" s="19" t="n">
        <v>46257</v>
      </c>
      <c r="G59" s="20" t="n">
        <v>6.48</v>
      </c>
      <c r="H59" s="21" t="n">
        <v>198</v>
      </c>
      <c r="I59" s="20" t="n">
        <v>6.26</v>
      </c>
      <c r="J59" s="20" t="n">
        <v>1227.6</v>
      </c>
      <c r="K59" s="22" t="n">
        <v>-3.44</v>
      </c>
      <c r="L59" s="22" t="n">
        <v>-3.72</v>
      </c>
      <c r="M59" s="22" t="n">
        <v>-3.44</v>
      </c>
      <c r="N59" s="22" t="n">
        <v>1.35</v>
      </c>
      <c r="O59" s="22" t="n">
        <v>2.72</v>
      </c>
      <c r="P59" s="22" t="n">
        <v>-6.16</v>
      </c>
      <c r="Q59" s="22" t="n">
        <v>-8.130000000000001</v>
      </c>
      <c r="R59" s="22" t="n"/>
      <c r="S59" s="22" t="n">
        <v>1.74</v>
      </c>
      <c r="T59" s="7" t="n"/>
    </row>
    <row r="60">
      <c r="A60" s="3" t="inlineStr">
        <is>
          <t>LNG.US</t>
        </is>
      </c>
      <c r="B60" t="inlineStr">
        <is>
          <t>CHENIERE ENERGY INC</t>
        </is>
      </c>
      <c r="C60" s="3" t="inlineStr">
        <is>
          <t>Energy</t>
        </is>
      </c>
      <c r="D60" s="3" t="inlineStr">
        <is>
          <t>United States</t>
        </is>
      </c>
      <c r="E60" s="3" t="inlineStr">
        <is>
          <t>Freedom24</t>
        </is>
      </c>
      <c r="F60" s="19" t="n">
        <v>46122</v>
      </c>
      <c r="G60" s="20" t="n">
        <v>225.75</v>
      </c>
      <c r="H60" s="21" t="n">
        <v>9</v>
      </c>
      <c r="I60" s="20" t="n">
        <v>236.93</v>
      </c>
      <c r="J60" s="20" t="n">
        <v>2114.01</v>
      </c>
      <c r="K60" s="22" t="n">
        <v>4.95</v>
      </c>
      <c r="L60" s="22" t="n">
        <v>-4.37</v>
      </c>
      <c r="M60" s="22" t="n">
        <v>0.99</v>
      </c>
      <c r="N60" s="22" t="n">
        <v>2.32</v>
      </c>
      <c r="O60" s="22" t="n">
        <v>15.55</v>
      </c>
      <c r="P60" s="22" t="n">
        <v>-10.6</v>
      </c>
      <c r="Q60" s="22" t="n">
        <v>4.44</v>
      </c>
      <c r="R60" s="22" t="n">
        <v>-22.02</v>
      </c>
      <c r="S60" s="22" t="n">
        <v>24.33</v>
      </c>
      <c r="T60" s="7" t="n">
        <v>50</v>
      </c>
    </row>
    <row r="61">
      <c r="A61" s="3" t="inlineStr">
        <is>
          <t>MOH.GR</t>
        </is>
      </c>
      <c r="B61" t="inlineStr">
        <is>
          <t>MOTOR OIL (CR)</t>
        </is>
      </c>
      <c r="C61" s="3" t="inlineStr">
        <is>
          <t>Energy</t>
        </is>
      </c>
      <c r="D61" s="3" t="inlineStr">
        <is>
          <t>Greece</t>
        </is>
      </c>
      <c r="E61" s="3" t="inlineStr">
        <is>
          <t>Freedom24</t>
        </is>
      </c>
      <c r="F61" s="19" t="n">
        <v>45649</v>
      </c>
      <c r="G61" s="20" t="n">
        <v>20.44</v>
      </c>
      <c r="H61" s="21" t="n">
        <v>15</v>
      </c>
      <c r="I61" s="20" t="n">
        <v>65.84999999999999</v>
      </c>
      <c r="J61" s="20" t="n">
        <v>999</v>
      </c>
      <c r="K61" s="22" t="n">
        <v>222.16</v>
      </c>
      <c r="L61" s="22" t="n">
        <v>9.08</v>
      </c>
      <c r="M61" s="22" t="n">
        <v>10.58</v>
      </c>
      <c r="N61" s="22" t="n">
        <v>1.1</v>
      </c>
      <c r="O61" s="22" t="n">
        <v>20.32</v>
      </c>
      <c r="P61" s="22" t="n">
        <v>201.84</v>
      </c>
      <c r="Q61" s="22" t="n">
        <v>3.04</v>
      </c>
      <c r="R61" s="22" t="n">
        <v>1055.67</v>
      </c>
      <c r="S61" s="22" t="n">
        <v>6.75</v>
      </c>
      <c r="T61" s="7" t="n">
        <v>41.67</v>
      </c>
    </row>
    <row r="62">
      <c r="A62" s="3" t="inlineStr">
        <is>
          <t>MTLN.GR</t>
        </is>
      </c>
      <c r="B62" t="inlineStr">
        <is>
          <t>METLEN PLC (CR)</t>
        </is>
      </c>
      <c r="C62" s="3" t="inlineStr">
        <is>
          <t>Utilities</t>
        </is>
      </c>
      <c r="D62" s="3" t="inlineStr">
        <is>
          <t>Greece</t>
        </is>
      </c>
      <c r="E62" s="3" t="inlineStr">
        <is>
          <t>Freedom24</t>
        </is>
      </c>
      <c r="F62" s="19" t="n">
        <v>45883</v>
      </c>
      <c r="G62" s="20" t="n">
        <v>40.49</v>
      </c>
      <c r="H62" s="21" t="n">
        <v>64</v>
      </c>
      <c r="I62" s="20" t="n">
        <v>48.52</v>
      </c>
      <c r="J62" s="20" t="n">
        <v>3091.2</v>
      </c>
      <c r="K62" s="22" t="n">
        <v>19.84</v>
      </c>
      <c r="L62" s="22" t="n">
        <v>-2.83</v>
      </c>
      <c r="M62" s="22" t="n">
        <v>1.53</v>
      </c>
      <c r="N62" s="22" t="n">
        <v>3.39</v>
      </c>
      <c r="O62" s="22" t="n">
        <v>23.42</v>
      </c>
      <c r="P62" s="22" t="n">
        <v>-3.58</v>
      </c>
      <c r="Q62" s="22" t="n">
        <v>-3.53</v>
      </c>
      <c r="R62" s="22" t="n"/>
      <c r="S62" s="22" t="n">
        <v>3.91</v>
      </c>
      <c r="T62" s="7" t="n">
        <v>75</v>
      </c>
    </row>
    <row r="63">
      <c r="A63" s="3" t="inlineStr">
        <is>
          <t>OTOEL.GR</t>
        </is>
      </c>
      <c r="B63" t="inlineStr">
        <is>
          <t>AUTOHELLAS (CR)</t>
        </is>
      </c>
      <c r="C63" s="3" t="inlineStr">
        <is>
          <t>Consumer Cyclical</t>
        </is>
      </c>
      <c r="D63" s="3" t="inlineStr">
        <is>
          <t>Greece</t>
        </is>
      </c>
      <c r="E63" s="3" t="inlineStr">
        <is>
          <t>Freedom24</t>
        </is>
      </c>
      <c r="F63" s="19" t="n">
        <v>46167</v>
      </c>
      <c r="G63" s="20" t="n">
        <v>10.89</v>
      </c>
      <c r="H63" s="21" t="n">
        <v>193</v>
      </c>
      <c r="I63" s="20" t="n">
        <v>10.76</v>
      </c>
      <c r="J63" s="20" t="n">
        <v>2072.82</v>
      </c>
      <c r="K63" s="22" t="n">
        <v>-1.23</v>
      </c>
      <c r="L63" s="22" t="n">
        <v>-4.9</v>
      </c>
      <c r="M63" s="22" t="n">
        <v>-0.31</v>
      </c>
      <c r="N63" s="22" t="n">
        <v>2.27</v>
      </c>
      <c r="O63" s="22" t="n">
        <v>4.5</v>
      </c>
      <c r="P63" s="22" t="n">
        <v>-5.73</v>
      </c>
      <c r="Q63" s="22" t="n">
        <v>-5.5</v>
      </c>
      <c r="R63" s="22" t="n"/>
      <c r="S63" s="22" t="n">
        <v>7.28</v>
      </c>
      <c r="T63" s="7" t="n">
        <v>16.66</v>
      </c>
    </row>
    <row r="64">
      <c r="A64" s="3" t="inlineStr">
        <is>
          <t>PPC.GR</t>
        </is>
      </c>
      <c r="B64" t="inlineStr">
        <is>
          <t>PPC (CR)</t>
        </is>
      </c>
      <c r="C64" s="3" t="inlineStr">
        <is>
          <t>Utilities</t>
        </is>
      </c>
      <c r="D64" s="3" t="inlineStr">
        <is>
          <t>Greece</t>
        </is>
      </c>
      <c r="E64" s="3" t="inlineStr">
        <is>
          <t>Freedom24</t>
        </is>
      </c>
      <c r="F64" s="19" t="n">
        <v>46043</v>
      </c>
      <c r="G64" s="20" t="n">
        <v>17.61</v>
      </c>
      <c r="H64" s="21" t="n">
        <v>80</v>
      </c>
      <c r="I64" s="20" t="n">
        <v>23.4</v>
      </c>
      <c r="J64" s="20" t="n">
        <v>1836.8</v>
      </c>
      <c r="K64" s="22" t="n">
        <v>32.86</v>
      </c>
      <c r="L64" s="22" t="n">
        <v>-2.71</v>
      </c>
      <c r="M64" s="22" t="n">
        <v>4.11</v>
      </c>
      <c r="N64" s="22" t="n">
        <v>2.02</v>
      </c>
      <c r="O64" s="22" t="n">
        <v>15.76</v>
      </c>
      <c r="P64" s="22" t="n">
        <v>17.1</v>
      </c>
      <c r="Q64" s="22" t="n">
        <v>-3.85</v>
      </c>
      <c r="R64" s="22" t="n"/>
      <c r="S64" s="22" t="n">
        <v>8.59</v>
      </c>
      <c r="T64" s="7" t="n">
        <v>75</v>
      </c>
    </row>
    <row r="65">
      <c r="A65" s="3" t="inlineStr">
        <is>
          <t>PSN.US</t>
        </is>
      </c>
      <c r="B65" t="inlineStr">
        <is>
          <t>PARSONS CORP</t>
        </is>
      </c>
      <c r="C65" s="3" t="inlineStr">
        <is>
          <t>Technology</t>
        </is>
      </c>
      <c r="D65" s="3" t="inlineStr">
        <is>
          <t>United States</t>
        </is>
      </c>
      <c r="E65" s="3" t="inlineStr">
        <is>
          <t>Freedom24</t>
        </is>
      </c>
      <c r="F65" s="19" t="n">
        <v>45790</v>
      </c>
      <c r="G65" s="20" t="n">
        <v>59.15</v>
      </c>
      <c r="H65" s="21" t="n">
        <v>10</v>
      </c>
      <c r="I65" s="20" t="n">
        <v>37.78</v>
      </c>
      <c r="J65" s="20" t="n">
        <v>329.9</v>
      </c>
      <c r="K65" s="22" t="n">
        <v>-36.12</v>
      </c>
      <c r="L65" s="22" t="n">
        <v>-12.6</v>
      </c>
      <c r="M65" s="22" t="n">
        <v>-2.26</v>
      </c>
      <c r="N65" s="22" t="n">
        <v>0.36</v>
      </c>
      <c r="O65" s="22" t="n">
        <v>28.28</v>
      </c>
      <c r="P65" s="22" t="n">
        <v>-64.40000000000001</v>
      </c>
      <c r="Q65" s="22" t="n">
        <v>8.92</v>
      </c>
      <c r="R65" s="22" t="n">
        <v>-13.49</v>
      </c>
      <c r="S65" s="22" t="n">
        <v>8.65</v>
      </c>
      <c r="T65" s="7" t="n">
        <v>23.33</v>
      </c>
    </row>
    <row r="66">
      <c r="A66" s="3" t="inlineStr">
        <is>
          <t>RHM.EU</t>
        </is>
      </c>
      <c r="B66" t="inlineStr">
        <is>
          <t>Rheinmetall AG</t>
        </is>
      </c>
      <c r="C66" s="3" t="inlineStr">
        <is>
          <t>Industrials</t>
        </is>
      </c>
      <c r="D66" s="3" t="inlineStr">
        <is>
          <t>Germany</t>
        </is>
      </c>
      <c r="E66" s="3" t="inlineStr">
        <is>
          <t>Freedom24</t>
        </is>
      </c>
      <c r="F66" s="19" t="n">
        <v>46146</v>
      </c>
      <c r="G66" s="20" t="n">
        <v>1396.6</v>
      </c>
      <c r="H66" s="21" t="n">
        <v>1</v>
      </c>
      <c r="I66" s="20" t="n">
        <v>975.9</v>
      </c>
      <c r="J66" s="20" t="n">
        <v>981.4</v>
      </c>
      <c r="K66" s="22" t="n">
        <v>-30.12</v>
      </c>
      <c r="L66" s="22" t="n">
        <v>-16.26</v>
      </c>
      <c r="M66" s="22" t="n">
        <v>-7.53</v>
      </c>
      <c r="N66" s="22" t="n">
        <v>1.08</v>
      </c>
      <c r="O66" s="22" t="n">
        <v>9.140000000000001</v>
      </c>
      <c r="P66" s="22" t="n">
        <v>-39.26</v>
      </c>
      <c r="Q66" s="22" t="n">
        <v>3.09</v>
      </c>
      <c r="R66" s="22" t="n">
        <v>43.22</v>
      </c>
      <c r="S66" s="22" t="n">
        <v>21.27</v>
      </c>
      <c r="T66" s="7" t="n">
        <v>77.89</v>
      </c>
    </row>
    <row r="67">
      <c r="A67" s="3" t="inlineStr">
        <is>
          <t>SIX3.EU</t>
        </is>
      </c>
      <c r="B67" t="inlineStr">
        <is>
          <t>Sixt SE</t>
        </is>
      </c>
      <c r="C67" s="3" t="inlineStr">
        <is>
          <t>Industrials</t>
        </is>
      </c>
      <c r="D67" s="3" t="inlineStr">
        <is>
          <t>Germany</t>
        </is>
      </c>
      <c r="E67" s="3" t="inlineStr">
        <is>
          <t>Freedom24</t>
        </is>
      </c>
      <c r="F67" s="19" t="n">
        <v>46146</v>
      </c>
      <c r="G67" s="20" t="n">
        <v>58.5</v>
      </c>
      <c r="H67" s="21" t="n">
        <v>6</v>
      </c>
      <c r="I67" s="20" t="n">
        <v>56.1</v>
      </c>
      <c r="J67" s="20" t="n">
        <v>335.4</v>
      </c>
      <c r="K67" s="22" t="n">
        <v>-4.1</v>
      </c>
      <c r="L67" s="22" t="n">
        <v>-5.08</v>
      </c>
      <c r="M67" s="22" t="n">
        <v>-1.02</v>
      </c>
      <c r="N67" s="22" t="n">
        <v>0.37</v>
      </c>
      <c r="O67" s="22" t="n">
        <v>9.140000000000001</v>
      </c>
      <c r="P67" s="22" t="n">
        <v>-13.24</v>
      </c>
      <c r="Q67" s="22" t="n">
        <v>-5.35</v>
      </c>
      <c r="R67" s="22" t="n"/>
      <c r="S67" s="22" t="n">
        <v>10.83</v>
      </c>
      <c r="T67" s="7" t="n">
        <v>19.23</v>
      </c>
    </row>
    <row r="68">
      <c r="A68" s="3" t="inlineStr">
        <is>
          <t>THEON.EU</t>
        </is>
      </c>
      <c r="B68" t="inlineStr">
        <is>
          <t>Theon International PLC</t>
        </is>
      </c>
      <c r="C68" s="3" t="inlineStr">
        <is>
          <t>Industrials</t>
        </is>
      </c>
      <c r="D68" s="3" t="inlineStr">
        <is>
          <t>Cyprus</t>
        </is>
      </c>
      <c r="E68" s="3" t="inlineStr">
        <is>
          <t>Freedom24</t>
        </is>
      </c>
      <c r="F68" s="19" t="n">
        <v>46019</v>
      </c>
      <c r="G68" s="20" t="n">
        <v>31.33</v>
      </c>
      <c r="H68" s="21" t="n">
        <v>44</v>
      </c>
      <c r="I68" s="20" t="n">
        <v>30.62</v>
      </c>
      <c r="J68" s="20" t="n">
        <v>1333.2</v>
      </c>
      <c r="K68" s="22" t="n">
        <v>-2.26</v>
      </c>
      <c r="L68" s="22" t="n">
        <v>-10.88</v>
      </c>
      <c r="M68" s="22" t="n">
        <v>-0.28</v>
      </c>
      <c r="N68" s="22" t="n">
        <v>1.46</v>
      </c>
      <c r="O68" s="22" t="n">
        <v>15.64</v>
      </c>
      <c r="P68" s="22" t="n">
        <v>-17.9</v>
      </c>
      <c r="Q68" s="22" t="n">
        <v>-1.57</v>
      </c>
      <c r="R68" s="22" t="n"/>
      <c r="S68" s="22" t="n">
        <v>22.48</v>
      </c>
      <c r="T68" s="7" t="n">
        <v>53.84</v>
      </c>
    </row>
    <row r="69">
      <c r="A69" s="3" t="inlineStr">
        <is>
          <t>VUAA.EU</t>
        </is>
      </c>
      <c r="B69" t="inlineStr">
        <is>
          <t>Vanguard S&amp;P 500 UCITS ETF</t>
        </is>
      </c>
      <c r="C69" s="3" t="n"/>
      <c r="D69" s="3" t="n"/>
      <c r="E69" s="3" t="inlineStr">
        <is>
          <t>Freedom24</t>
        </is>
      </c>
      <c r="F69" s="19" t="n">
        <v>46272</v>
      </c>
      <c r="G69" s="20" t="n">
        <v>128.29</v>
      </c>
      <c r="H69" s="21" t="n">
        <v>3</v>
      </c>
      <c r="I69" s="20" t="n">
        <v>131.36</v>
      </c>
      <c r="J69" s="20" t="n">
        <v>393.88</v>
      </c>
      <c r="K69" s="22" t="n">
        <v>2.39</v>
      </c>
      <c r="L69" s="22" t="n">
        <v>-0.62</v>
      </c>
      <c r="M69" s="22" t="n">
        <v>2.39</v>
      </c>
      <c r="N69" s="22" t="n">
        <v>0.43</v>
      </c>
      <c r="O69" s="22" t="n">
        <v>1.5</v>
      </c>
      <c r="P69" s="22" t="n">
        <v>0.89</v>
      </c>
      <c r="Q69" s="22" t="n"/>
      <c r="R69" s="22" t="n"/>
      <c r="S69" s="22" t="n"/>
      <c r="T69" s="7" t="n"/>
    </row>
    <row r="70" ht="15" customHeight="1"/>
    <row r="72" ht="15" customHeight="1"/>
    <row r="75" ht="21" customHeight="1" thickBot="1">
      <c r="B75" s="23" t="inlineStr">
        <is>
          <t>PORTFOLIO VALUE</t>
        </is>
      </c>
      <c r="E75" s="24" t="inlineStr">
        <is>
          <t>PORTFOLIO RETURN</t>
        </is>
      </c>
      <c r="F75" s="25" t="n"/>
      <c r="I75" s="26" t="inlineStr">
        <is>
          <t>VUAA RETURN</t>
        </is>
      </c>
      <c r="J75" s="27" t="n"/>
      <c r="L75" s="28" t="inlineStr">
        <is>
          <t>EXCESS RETURN</t>
        </is>
      </c>
    </row>
    <row r="76" ht="21" customHeight="1">
      <c r="B76" s="29">
        <f>IFERROR(SUMPRODUCT(SUBTOTAL(109,OFFSET(INDEX(StockSummary[current_price],1),ROW(StockSummary[current_price])-MIN(ROW(StockSummary[current_price])),0,1)),StockSummary[quantity]),0)</f>
        <v/>
      </c>
      <c r="E76" s="30">
        <f>IFERROR(SUMPRODUCT(SUBTOTAL(103,OFFSET(INDEX(StockSummary[symbol],1),ROW(StockSummary[symbol])-MIN(ROW(StockSummary[symbol])),0,1)),StockSummary[current_price],StockSummary[quantity])/SUMPRODUCT(SUBTOTAL(103,OFFSET(INDEX(StockSummary[symbol],1),ROW(StockSummary[symbol])-MIN(ROW(StockSummary[symbol])),0,1)),StockSummary[purchase_price],StockSummary[quantity])-1,0)</f>
        <v/>
      </c>
      <c r="F76" s="25" t="n"/>
      <c r="I76" s="31">
        <f>IFERROR(SUMPRODUCT(SUBTOTAL(103,OFFSET(INDEX(StockSummary[symbol],1),ROW(StockSummary[symbol])-MIN(ROW(StockSummary[symbol])),0,1)),StockSummary[portfolio_weight],StockSummary[vuaa_return])/SUMPRODUCT(SUBTOTAL(103,OFFSET(INDEX(StockSummary[symbol],1),ROW(StockSummary[symbol])-MIN(ROW(StockSummary[symbol])),0,1)),StockSummary[portfolio_weight])/100,0)</f>
        <v/>
      </c>
      <c r="J76" s="27" t="n"/>
      <c r="L76" s="32">
        <f>E76-I76</f>
        <v/>
      </c>
    </row>
    <row r="77" ht="15" customHeight="1" thickBot="1"/>
  </sheetData>
  <mergeCells count="4">
    <mergeCell ref="E75:F75"/>
    <mergeCell ref="I75:J75"/>
    <mergeCell ref="E76:F76"/>
    <mergeCell ref="I76:J76"/>
  </mergeCells>
  <conditionalFormatting sqref="B2:T69">
    <cfRule type="expression" priority="1" dxfId="5">
      <formula>AND($L2&gt;=-4.99,$L2&lt;0)</formula>
    </cfRule>
    <cfRule type="expression" priority="2" dxfId="6">
      <formula>AND($L2&gt;=0,$L2&lt;2)</formula>
    </cfRule>
    <cfRule type="expression" priority="3" dxfId="7">
      <formula>AND($L2&gt;=2,$L2&lt;4)</formula>
    </cfRule>
    <cfRule type="expression" priority="4" dxfId="8">
      <formula>AND($L2&gt;=4,$L2&lt;=9)</formula>
    </cfRule>
    <cfRule type="expression" priority="5" dxfId="9">
      <formula>$L2&gt;9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22" customWidth="1" min="3" max="3"/>
    <col width="18" customWidth="1" min="4" max="4"/>
    <col width="13" customWidth="1" min="5" max="5"/>
    <col width="15" customWidth="1" min="6" max="6"/>
    <col width="16" customWidth="1" min="7" max="7"/>
    <col width="12" customWidth="1" min="8" max="8"/>
    <col width="16" customWidth="1" min="9" max="9"/>
    <col width="16" customWidth="1" min="10" max="10"/>
    <col width="17" customWidth="1" min="11" max="11"/>
    <col width="25" customWidth="1" min="12" max="12"/>
    <col width="22" customWidth="1" min="13" max="13"/>
    <col width="18" customWidth="1" min="14" max="14"/>
    <col width="14" customWidth="1" min="15" max="15"/>
    <col width="15" customWidth="1" min="16" max="16"/>
    <col width="14" customWidth="1" min="17" max="17"/>
    <col width="15" customWidth="1" min="18" max="18"/>
    <col width="12" customWidth="1" min="19" max="19"/>
    <col width="14" customWidth="1" min="20" max="20"/>
  </cols>
  <sheetData>
    <row r="1" ht="24" customHeight="1">
      <c r="A1" s="18" t="inlineStr">
        <is>
          <t>symbol</t>
        </is>
      </c>
      <c r="B1" s="18" t="inlineStr">
        <is>
          <t>name</t>
        </is>
      </c>
      <c r="C1" s="18" t="inlineStr">
        <is>
          <t>sector</t>
        </is>
      </c>
      <c r="D1" s="18" t="inlineStr">
        <is>
          <t>country</t>
        </is>
      </c>
      <c r="E1" s="18" t="inlineStr">
        <is>
          <t>platform</t>
        </is>
      </c>
      <c r="F1" s="18" t="inlineStr">
        <is>
          <t>purchase_date</t>
        </is>
      </c>
      <c r="G1" s="18" t="inlineStr">
        <is>
          <t>purchase_price</t>
        </is>
      </c>
      <c r="H1" s="18" t="inlineStr">
        <is>
          <t>quantity</t>
        </is>
      </c>
      <c r="I1" s="18" t="inlineStr">
        <is>
          <t>current_price</t>
        </is>
      </c>
      <c r="J1" s="18" t="inlineStr">
        <is>
          <t>market_value</t>
        </is>
      </c>
      <c r="K1" s="18" t="inlineStr">
        <is>
          <t>percent_change</t>
        </is>
      </c>
      <c r="L1" s="18" t="inlineStr">
        <is>
          <t>monthly_percent_change</t>
        </is>
      </c>
      <c r="M1" s="18" t="inlineStr">
        <is>
          <t>avg_monthly_change</t>
        </is>
      </c>
      <c r="N1" s="18" t="inlineStr">
        <is>
          <t>portfolio_weight</t>
        </is>
      </c>
      <c r="O1" s="18" t="inlineStr">
        <is>
          <t>vuaa_return</t>
        </is>
      </c>
      <c r="P1" s="18" t="inlineStr">
        <is>
          <t>excess_return</t>
        </is>
      </c>
      <c r="Q1" s="18" t="inlineStr">
        <is>
          <t>fcf_yield</t>
        </is>
      </c>
      <c r="R1" s="18" t="inlineStr">
        <is>
          <t>fcf_growth</t>
        </is>
      </c>
      <c r="S1" s="18" t="inlineStr">
        <is>
          <t>roic</t>
        </is>
      </c>
      <c r="T1" s="18" t="inlineStr">
        <is>
          <t>final_score</t>
        </is>
      </c>
    </row>
    <row r="2">
      <c r="A2" s="3" t="inlineStr">
        <is>
          <t>kole</t>
        </is>
      </c>
      <c r="B2" t="inlineStr">
        <is>
          <t>krania</t>
        </is>
      </c>
      <c r="C2" s="3" t="inlineStr">
        <is>
          <t>dssd</t>
        </is>
      </c>
      <c r="D2" s="3" t="inlineStr">
        <is>
          <t>Netherlands</t>
        </is>
      </c>
      <c r="E2" s="3" t="inlineStr">
        <is>
          <t>Capital</t>
        </is>
      </c>
      <c r="F2" s="19" t="n">
        <v>46273</v>
      </c>
      <c r="G2" s="20" t="n">
        <v>5.63</v>
      </c>
      <c r="H2" s="21" t="n">
        <v>250</v>
      </c>
      <c r="I2" s="20" t="n">
        <v>5.91</v>
      </c>
      <c r="J2" s="20" t="n">
        <v>1477.5</v>
      </c>
      <c r="K2" s="22" t="n">
        <v>4.97</v>
      </c>
      <c r="L2" s="22" t="n">
        <v>4.02</v>
      </c>
      <c r="M2" s="22" t="n">
        <v>4.97</v>
      </c>
      <c r="N2" s="22" t="n">
        <v>1.62</v>
      </c>
      <c r="O2" s="22" t="n">
        <v>1.7</v>
      </c>
      <c r="P2" s="22" t="n">
        <v>3.27</v>
      </c>
      <c r="Q2" s="22" t="n">
        <v>18.4</v>
      </c>
      <c r="R2" s="22" t="n">
        <v>130</v>
      </c>
      <c r="S2" s="22" t="n">
        <v>14.52</v>
      </c>
      <c r="T2" s="7" t="n">
        <v>83.33</v>
      </c>
    </row>
  </sheetData>
  <conditionalFormatting sqref="B2:T2">
    <cfRule type="expression" priority="1" dxfId="5">
      <formula>AND($L2&gt;=-4.99,$L2&lt;0)</formula>
    </cfRule>
    <cfRule type="expression" priority="2" dxfId="6">
      <formula>AND($L2&gt;=0,$L2&lt;2)</formula>
    </cfRule>
    <cfRule type="expression" priority="3" dxfId="7">
      <formula>AND($L2&gt;=2,$L2&lt;4)</formula>
    </cfRule>
    <cfRule type="expression" priority="4" dxfId="8">
      <formula>AND($L2&gt;=4,$L2&lt;=9)</formula>
    </cfRule>
    <cfRule type="expression" priority="5" dxfId="9">
      <formula>$L2&gt;9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Δημήτριος Αναγνωστου</dc:creator>
  <dcterms:created xmlns:dcterms="http://purl.org/dc/terms/" xmlns:xsi="http://www.w3.org/2001/XMLSchema-instance" xsi:type="dcterms:W3CDTF">2026-09-13T07:51:09Z</dcterms:created>
  <dcterms:modified xmlns:dcterms="http://purl.org/dc/terms/" xmlns:xsi="http://www.w3.org/2001/XMLSchema-instance" xsi:type="dcterms:W3CDTF">2026-09-26T18:03:36Z</dcterms:modified>
  <cp:lastModifiedBy>Δημήτριος Αναγνωστου</cp:lastModifiedBy>
</cp:coreProperties>
</file>